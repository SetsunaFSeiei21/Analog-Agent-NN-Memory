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d5e9c3fe6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_Operating_Point" sheetId="1" r:id="Rca6ab2eba89a418a"/>
    <x:sheet xmlns:r="http://schemas.openxmlformats.org/officeDocument/2006/relationships" name="MOS_Capacitances" sheetId="2" r:id="R59798c9ee41c41cb"/>
    <x:sheet xmlns:r="http://schemas.openxmlformats.org/officeDocument/2006/relationships" name="Metrics" sheetId="3" r:id="R11a329dbd8954fc4"/>
    <x:sheet xmlns:r="http://schemas.openxmlformats.org/officeDocument/2006/relationships" name="Setup" sheetId="4" r:id="Re6f79fda317e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E+00"/>
    <x:numFmt numFmtId="201" formatCode="0.000"/>
    <x:numFmt numFmtId="202" formatCode="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B55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7f450c2344008" /><Relationship Type="http://schemas.openxmlformats.org/officeDocument/2006/relationships/theme" Target="/xl/theme/theme1.xml" Id="Re708184c48ed41be" /><Relationship Type="http://schemas.openxmlformats.org/officeDocument/2006/relationships/sharedStrings" Target="/xl/sharedStrings.xml" Id="R2ad9908fd80f47c2" /><Relationship Type="http://schemas.openxmlformats.org/officeDocument/2006/relationships/worksheet" Target="/xl/worksheets/sheet1.xml" Id="Rca6ab2eba89a418a" /><Relationship Type="http://schemas.openxmlformats.org/officeDocument/2006/relationships/worksheet" Target="/xl/worksheets/sheet2.xml" Id="R59798c9ee41c41cb" /><Relationship Type="http://schemas.openxmlformats.org/officeDocument/2006/relationships/worksheet" Target="/xl/worksheets/sheet3.xml" Id="R11a329dbd8954fc4" /><Relationship Type="http://schemas.openxmlformats.org/officeDocument/2006/relationships/worksheet" Target="/xl/worksheets/sheet4.xml" Id="Re6f79fda317e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B55"/>
  </x:sheetPr>
  <x:sheetViews>
    <x:sheetView showGridLines="0" workbookViewId="0">
      <x:pane xSplit="7" ySplit="1" topLeftCell="H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23" hidden="0" customWidth="1"/>
  </x:cols>
  <x:sheetData>
    <x:row r="1" ht="34" customHeight="1">
      <x:c r="A1" s="6" t="str">
        <x:v>Device</x:v>
      </x:c>
      <x:c r="B1" s="6" t="str">
        <x:v>MOS_Type</x:v>
      </x:c>
      <x:c r="C1" s="6" t="str">
        <x:v>Model</x:v>
      </x:c>
      <x:c r="D1" s="6" t="str">
        <x:v>D_Node</x:v>
      </x:c>
      <x:c r="E1" s="6" t="str">
        <x:v>G_Node</x:v>
      </x:c>
      <x:c r="F1" s="6" t="str">
        <x:v>S_Node</x:v>
      </x:c>
      <x:c r="G1" s="6" t="str">
        <x:v>B_Node</x:v>
      </x:c>
      <x:c r="H1" s="6" t="str">
        <x:v>W_um</x:v>
      </x:c>
      <x:c r="I1" s="6" t="str">
        <x:v>L_um</x:v>
      </x:c>
      <x:c r="J1" s="6" t="str">
        <x:v>M</x:v>
      </x:c>
      <x:c r="K1" s="6" t="str">
        <x:v>VD_V</x:v>
      </x:c>
      <x:c r="L1" s="6" t="str">
        <x:v>VG_V</x:v>
      </x:c>
      <x:c r="M1" s="6" t="str">
        <x:v>VS_V</x:v>
      </x:c>
      <x:c r="N1" s="6" t="str">
        <x:v>VB_V</x:v>
      </x:c>
      <x:c r="O1" s="6" t="str">
        <x:v>VGS_V</x:v>
      </x:c>
      <x:c r="P1" s="6" t="str">
        <x:v>VDS_V</x:v>
      </x:c>
      <x:c r="Q1" s="6" t="str">
        <x:v>VBS_V</x:v>
      </x:c>
      <x:c r="R1" s="6" t="str">
        <x:v>Id_model_A</x:v>
      </x:c>
      <x:c r="S1" s="6" t="str">
        <x:v>gm_S</x:v>
      </x:c>
      <x:c r="T1" s="6" t="str">
        <x:v>gds_S</x:v>
      </x:c>
      <x:c r="U1" s="6" t="str">
        <x:v>gmbs_S</x:v>
      </x:c>
      <x:c r="V1" s="6" t="str">
        <x:v>Vth_model_V</x:v>
      </x:c>
      <x:c r="W1" s="6" t="str">
        <x:v>Vdsat_model_V</x:v>
      </x:c>
      <x:c r="X1" s="6" t="str">
        <x:v>gm_over_Id_per_V</x:v>
      </x:c>
      <x:c r="Y1" s="6" t="str">
        <x:v>gm_over_gds</x:v>
      </x:c>
      <x:c r="Z1" s="6" t="str">
        <x:v>ro_Ohm</x:v>
      </x:c>
      <x:c r="AA1" s="6" t="str">
        <x:v>VDS_oriented_V</x:v>
      </x:c>
      <x:c r="AB1" s="6" t="str">
        <x:v>Vov_est_V</x:v>
      </x:c>
      <x:c r="AC1" s="6" t="str">
        <x:v>Saturation_margin_V</x:v>
      </x:c>
    </x:row>
    <x:row r="2" ht="22" customHeight="1">
      <x:c r="A2" s="7" t="str">
        <x:v>XPM9</x:v>
      </x:c>
      <x:c r="B2" s="7" t="str">
        <x:v>PMOS</x:v>
      </x:c>
      <x:c r="C2" s="7" t="str">
        <x:v>sky130_fd_pr__pfet_01v8</x:v>
      </x:c>
      <x:c r="D2" s="7" t="str">
        <x:v>VB2</x:v>
      </x:c>
      <x:c r="E2" s="7" t="str">
        <x:v>NET1</x:v>
      </x:c>
      <x:c r="F2" s="7" t="str">
        <x:v>VDD</x:v>
      </x:c>
      <x:c r="G2" s="7" t="str">
        <x:v>VDD</x:v>
      </x:c>
      <x:c r="H2" s="12" t="n">
        <x:v>5</x:v>
      </x:c>
      <x:c r="I2" s="12" t="n">
        <x:v>0.5</x:v>
      </x:c>
      <x:c r="J2" s="14" t="n">
        <x:v>1</x:v>
      </x:c>
      <x:c r="K2" s="9" t="n">
        <x:v>0.6917463824735921</x:v>
      </x:c>
      <x:c r="L2" s="9" t="n">
        <x:v>0.7379079262057617</x:v>
      </x:c>
      <x:c r="M2" s="9" t="n">
        <x:v>1.8</x:v>
      </x:c>
      <x:c r="N2" s="9" t="n">
        <x:v>1.8</x:v>
      </x:c>
      <x:c r="O2" s="9" t="n">
        <x:v>-1.0620920737942383</x:v>
      </x:c>
      <x:c r="P2" s="9" t="n">
        <x:v>-1.108253617526408</x:v>
      </x:c>
      <x:c r="Q2" s="9" t="n">
        <x:v>0</x:v>
      </x:c>
      <x:c r="R2" s="9" t="n">
        <x:v>0.000005022031669230395</x:v>
      </x:c>
      <x:c r="S2" s="9" t="n">
        <x:v>0.00006568198872289255</x:v>
      </x:c>
      <x:c r="T2" s="9" t="n">
        <x:v>4.741792793790581e-7</x:v>
      </x:c>
      <x:c r="U2" s="9" t="n">
        <x:v>0.00001693773386455213</x:v>
      </x:c>
      <x:c r="V2" s="9" t="n">
        <x:v>0.9812324306526958</x:v>
      </x:c>
      <x:c r="W2" s="9" t="n">
        <x:v>0.1255099026967049</x:v>
      </x:c>
      <x:c r="X2" s="9" t="n">
        <x:f>IF(ABS(R2)&gt;0,ABS(S2)/ABS(R2),"nan")</x:f>
        <x:v>13.07876832504285</x:v>
      </x:c>
      <x:c r="Y2" s="9" t="n">
        <x:f>IF(ABS(T2)&gt;0,ABS(S2)/ABS(T2),"nan")</x:f>
        <x:v>138.5172055786657</x:v>
      </x:c>
      <x:c r="Z2" s="9" t="n">
        <x:f>IF(ABS(T2)&gt;0,1/ABS(T2),"nan")</x:f>
        <x:v>2108906.996757658</x:v>
      </x:c>
      <x:c r="AA2" s="9" t="n">
        <x:f>IF(B2="PMOS",-P2,P2)</x:f>
        <x:v>1.108253617526408</x:v>
      </x:c>
      <x:c r="AB2" s="9" t="n">
        <x:f>IF(B2="PMOS",-O2,O2)-ABS(V2)</x:f>
        <x:v>0.08085964314154248</x:v>
      </x:c>
      <x:c r="AC2" s="9" t="n">
        <x:f>AA2-ABS(W2)</x:f>
        <x:v>0.982743714829703</x:v>
      </x:c>
    </x:row>
    <x:row r="3" ht="22" customHeight="1">
      <x:c r="A3" s="2" t="str">
        <x:v>XPM8</x:v>
      </x:c>
      <x:c r="B3" s="2" t="str">
        <x:v>PMOS</x:v>
      </x:c>
      <x:c r="C3" s="2" t="str">
        <x:v>sky130_fd_pr__pfet_01v8</x:v>
      </x:c>
      <x:c r="D3" s="2" t="str">
        <x:v>VB3</x:v>
      </x:c>
      <x:c r="E3" s="2" t="str">
        <x:v>NET1</x:v>
      </x:c>
      <x:c r="F3" s="2" t="str">
        <x:v>VDD</x:v>
      </x:c>
      <x:c r="G3" s="2" t="str">
        <x:v>VDD</x:v>
      </x:c>
      <x:c r="H3" s="13" t="n">
        <x:v>5</x:v>
      </x:c>
      <x:c r="I3" s="13" t="n">
        <x:v>0.5</x:v>
      </x:c>
      <x:c r="J3" s="15" t="n">
        <x:v>1</x:v>
      </x:c>
      <x:c r="K3" s="11" t="n">
        <x:v>0.6486399237092703</x:v>
      </x:c>
      <x:c r="L3" s="11" t="n">
        <x:v>0.7379079262057617</x:v>
      </x:c>
      <x:c r="M3" s="11" t="n">
        <x:v>1.8</x:v>
      </x:c>
      <x:c r="N3" s="11" t="n">
        <x:v>1.8</x:v>
      </x:c>
      <x:c r="O3" s="11" t="n">
        <x:v>-1.0620920737942383</x:v>
      </x:c>
      <x:c r="P3" s="11" t="n">
        <x:v>-1.1513600762907297</x:v>
      </x:c>
      <x:c r="Q3" s="11" t="n">
        <x:v>0</x:v>
      </x:c>
      <x:c r="R3" s="11" t="n">
        <x:v>0.000005042353318321365</x:v>
      </x:c>
      <x:c r="S3" s="11" t="n">
        <x:v>0.00006590764196873737</x:v>
      </x:c>
      <x:c r="T3" s="11" t="n">
        <x:v>4.687530601016478e-7</x:v>
      </x:c>
      <x:c r="U3" s="11" t="n">
        <x:v>0.00001699467087594326</x:v>
      </x:c>
      <x:c r="V3" s="11" t="n">
        <x:v>0.9810680568440264</x:v>
      </x:c>
      <x:c r="W3" s="11" t="n">
        <x:v>0.1256164695623726</x:v>
      </x:c>
      <x:c r="X3" s="11" t="n">
        <x:f>IF(ABS(R3)&gt;0,ABS(S3)/ABS(R3),"nan")</x:f>
        <x:v>13.070809958767128</x:v>
      </x:c>
      <x:c r="Y3" s="11" t="n">
        <x:f>IF(ABS(T3)&gt;0,ABS(S3)/ABS(T3),"nan")</x:f>
        <x:v>140.60205165262383</x:v>
      </x:c>
      <x:c r="Z3" s="11" t="n">
        <x:f>IF(ABS(T3)&gt;0,1/ABS(T3),"nan")</x:f>
        <x:v>2133319.4065616396</x:v>
      </x:c>
      <x:c r="AA3" s="11" t="n">
        <x:f>IF(B3="PMOS",-P3,P3)</x:f>
        <x:v>1.1513600762907297</x:v>
      </x:c>
      <x:c r="AB3" s="11" t="n">
        <x:f>IF(B3="PMOS",-O3,O3)-ABS(V3)</x:f>
        <x:v>0.08102401695021189</x:v>
      </x:c>
      <x:c r="AC3" s="11" t="n">
        <x:f>AA3-ABS(W3)</x:f>
        <x:v>1.0257436067283572</x:v>
      </x:c>
    </x:row>
    <x:row r="4" ht="22" customHeight="1">
      <x:c r="A4" s="7" t="str">
        <x:v>XPM7</x:v>
      </x:c>
      <x:c r="B4" s="7" t="str">
        <x:v>PMOS</x:v>
      </x:c>
      <x:c r="C4" s="7" t="str">
        <x:v>sky130_fd_pr__pfet_01v8</x:v>
      </x:c>
      <x:c r="D4" s="7" t="str">
        <x:v>NET1</x:v>
      </x:c>
      <x:c r="E4" s="7" t="str">
        <x:v>NET1</x:v>
      </x:c>
      <x:c r="F4" s="7" t="str">
        <x:v>VDD</x:v>
      </x:c>
      <x:c r="G4" s="7" t="str">
        <x:v>VDD</x:v>
      </x:c>
      <x:c r="H4" s="12" t="n">
        <x:v>5</x:v>
      </x:c>
      <x:c r="I4" s="12" t="n">
        <x:v>0.5</x:v>
      </x:c>
      <x:c r="J4" s="14" t="n">
        <x:v>1</x:v>
      </x:c>
      <x:c r="K4" s="9" t="n">
        <x:v>0.7379079262057617</x:v>
      </x:c>
      <x:c r="L4" s="9" t="n">
        <x:v>0.7379079262057617</x:v>
      </x:c>
      <x:c r="M4" s="9" t="n">
        <x:v>1.8</x:v>
      </x:c>
      <x:c r="N4" s="9" t="n">
        <x:v>1.8</x:v>
      </x:c>
      <x:c r="O4" s="9" t="n">
        <x:v>-1.0620920737942383</x:v>
      </x:c>
      <x:c r="P4" s="9" t="n">
        <x:v>-1.0620920737942383</x:v>
      </x:c>
      <x:c r="Q4" s="9" t="n">
        <x:v>0</x:v>
      </x:c>
      <x:c r="R4" s="9" t="n">
        <x:v>0.000004999998888999706</x:v>
      </x:c>
      <x:c r="S4" s="9" t="n">
        <x:v>0.00006543608888034255</x:v>
      </x:c>
      <x:c r="T4" s="9" t="n">
        <x:v>4.805102673717328e-7</x:v>
      </x:c>
      <x:c r="U4" s="9" t="n">
        <x:v>0.00001687565271310323</x:v>
      </x:c>
      <x:c r="V4" s="9" t="n">
        <x:v>0.9814084541297169</x:v>
      </x:c>
      <x:c r="W4" s="9" t="n">
        <x:v>0.1253958478724581</x:v>
      </x:c>
      <x:c r="X4" s="9" t="n">
        <x:f>IF(ABS(R4)&gt;0,ABS(S4)/ABS(R4),"nan")</x:f>
        <x:v>13.087220684049717</x:v>
      </x:c>
      <x:c r="Y4" s="9" t="n">
        <x:f>IF(ABS(T4)&gt;0,ABS(S4)/ABS(T4),"nan")</x:f>
        <x:v>136.18041761784005</x:v>
      </x:c>
      <x:c r="Z4" s="9" t="n">
        <x:f>IF(ABS(T4)&gt;0,1/ABS(T4),"nan")</x:f>
        <x:v>2081120.983053582</x:v>
      </x:c>
      <x:c r="AA4" s="9" t="n">
        <x:f>IF(B4="PMOS",-P4,P4)</x:f>
        <x:v>1.0620920737942383</x:v>
      </x:c>
      <x:c r="AB4" s="9" t="n">
        <x:f>IF(B4="PMOS",-O4,O4)-ABS(V4)</x:f>
        <x:v>0.08068361966452142</x:v>
      </x:c>
      <x:c r="AC4" s="9" t="n">
        <x:f>AA4-ABS(W4)</x:f>
        <x:v>0.9366962259217801</x:v>
      </x:c>
    </x:row>
    <x:row r="5" ht="22" customHeight="1">
      <x:c r="A5" s="2" t="str">
        <x:v>XPM6</x:v>
      </x:c>
      <x:c r="B5" s="2" t="str">
        <x:v>PMOS</x:v>
      </x:c>
      <x:c r="C5" s="2" t="str">
        <x:v>sky130_fd_pr__pfet_01v8</x:v>
      </x:c>
      <x:c r="D5" s="2" t="str">
        <x:v>NET9</x:v>
      </x:c>
      <x:c r="E5" s="2" t="str">
        <x:v>NET1</x:v>
      </x:c>
      <x:c r="F5" s="2" t="str">
        <x:v>VDD</x:v>
      </x:c>
      <x:c r="G5" s="2" t="str">
        <x:v>VDD</x:v>
      </x:c>
      <x:c r="H5" s="13" t="n">
        <x:v>5</x:v>
      </x:c>
      <x:c r="I5" s="13" t="n">
        <x:v>0.5</x:v>
      </x:c>
      <x:c r="J5" s="15" t="n">
        <x:v>2</x:v>
      </x:c>
      <x:c r="K5" s="11" t="n">
        <x:v>1.540263709624125</x:v>
      </x:c>
      <x:c r="L5" s="11" t="n">
        <x:v>0.7379079262057617</x:v>
      </x:c>
      <x:c r="M5" s="11" t="n">
        <x:v>1.8</x:v>
      </x:c>
      <x:c r="N5" s="11" t="n">
        <x:v>1.8</x:v>
      </x:c>
      <x:c r="O5" s="11" t="n">
        <x:v>-1.0620920737942383</x:v>
      </x:c>
      <x:c r="P5" s="11" t="n">
        <x:v>-0.2597362903758751</x:v>
      </x:c>
      <x:c r="Q5" s="11" t="n">
        <x:v>0</x:v>
      </x:c>
      <x:c r="R5" s="11" t="n">
        <x:v>0.00000900135340508807</x:v>
      </x:c>
      <x:c r="S5" s="11" t="n">
        <x:v>0.0001184915107772869</x:v>
      </x:c>
      <x:c r="T5" s="11" t="n">
        <x:v>0.000002184632145289157</x:v>
      </x:c>
      <x:c r="U5" s="11" t="n">
        <x:v>0.00003060006406601603</x:v>
      </x:c>
      <x:c r="V5" s="11" t="n">
        <x:v>0.9844680020403523</x:v>
      </x:c>
      <x:c r="W5" s="11" t="n">
        <x:v>0.1234242137861937</x:v>
      </x:c>
      <x:c r="X5" s="11" t="n">
        <x:f>IF(ABS(R5)&gt;0,ABS(S5)/ABS(R5),"nan")</x:f>
        <x:v>13.163743877704972</x:v>
      </x:c>
      <x:c r="Y5" s="11" t="n">
        <x:f>IF(ABS(T5)&gt;0,ABS(S5)/ABS(T5),"nan")</x:f>
        <x:v>54.23865570814596</x:v>
      </x:c>
      <x:c r="Z5" s="11" t="n">
        <x:f>IF(ABS(T5)&gt;0,1/ABS(T5),"nan")</x:f>
        <x:v>457742.9670053859</x:v>
      </x:c>
      <x:c r="AA5" s="11" t="n">
        <x:f>IF(B5="PMOS",-P5,P5)</x:f>
        <x:v>0.2597362903758751</x:v>
      </x:c>
      <x:c r="AB5" s="11" t="n">
        <x:f>IF(B5="PMOS",-O5,O5)-ABS(V5)</x:f>
        <x:v>0.07762407175388597</x:v>
      </x:c>
      <x:c r="AC5" s="11" t="n">
        <x:f>AA5-ABS(W5)</x:f>
        <x:v>0.1363120765896814</x:v>
      </x:c>
    </x:row>
    <x:row r="6" ht="22" customHeight="1">
      <x:c r="A6" s="7" t="str">
        <x:v>XPM5</x:v>
      </x:c>
      <x:c r="B6" s="7" t="str">
        <x:v>PMOS</x:v>
      </x:c>
      <x:c r="C6" s="7" t="str">
        <x:v>sky130_fd_pr__pfet_01v8</x:v>
      </x:c>
      <x:c r="D6" s="7" t="str">
        <x:v>NET27</x:v>
      </x:c>
      <x:c r="E6" s="7" t="str">
        <x:v>VINN</x:v>
      </x:c>
      <x:c r="F6" s="7" t="str">
        <x:v>NET9</x:v>
      </x:c>
      <x:c r="G6" s="7" t="str">
        <x:v>VDD</x:v>
      </x:c>
      <x:c r="H6" s="12" t="n">
        <x:v>5</x:v>
      </x:c>
      <x:c r="I6" s="12" t="n">
        <x:v>0.5</x:v>
      </x:c>
      <x:c r="J6" s="14" t="n">
        <x:v>1</x:v>
      </x:c>
      <x:c r="K6" s="9" t="n">
        <x:v>0.1847597889132588</x:v>
      </x:c>
      <x:c r="L6" s="9" t="n">
        <x:v>0.3693516491260987</x:v>
      </x:c>
      <x:c r="M6" s="9" t="n">
        <x:v>1.540263709624125</x:v>
      </x:c>
      <x:c r="N6" s="9" t="n">
        <x:v>1.8</x:v>
      </x:c>
      <x:c r="O6" s="9" t="n">
        <x:v>-1.1709120604980263</x:v>
      </x:c>
      <x:c r="P6" s="9" t="n">
        <x:v>-1.3555039207108661</x:v>
      </x:c>
      <x:c r="Q6" s="9" t="n">
        <x:v>0.2597362903758751</x:v>
      </x:c>
      <x:c r="R6" s="9" t="n">
        <x:v>0.000009000964116980318</x:v>
      </x:c>
      <x:c r="S6" s="9" t="n">
        <x:v>0.00009957791431812972</x:v>
      </x:c>
      <x:c r="T6" s="9" t="n">
        <x:v>7.182406048851144e-7</x:v>
      </x:c>
      <x:c r="U6" s="9" t="n">
        <x:v>0.00002233042663114452</x:v>
      </x:c>
      <x:c r="V6" s="9" t="n">
        <x:v>1.043343778858777</x:v>
      </x:c>
      <x:c r="W6" s="9" t="n">
        <x:v>0.160998227785387</x:v>
      </x:c>
      <x:c r="X6" s="9" t="n">
        <x:f>IF(ABS(R6)&gt;0,ABS(S6)/ABS(R6),"nan")</x:f>
        <x:v>11.063027585042363</x:v>
      </x:c>
      <x:c r="Y6" s="9" t="n">
        <x:f>IF(ABS(T6)&gt;0,ABS(S6)/ABS(T6),"nan")</x:f>
        <x:v>138.64144360657198</x:v>
      </x:c>
      <x:c r="Z6" s="9" t="n">
        <x:f>IF(ABS(T6)&gt;0,1/ABS(T6),"nan")</x:f>
        <x:v>1392291.0974379599</x:v>
      </x:c>
      <x:c r="AA6" s="9" t="n">
        <x:f>IF(B6="PMOS",-P6,P6)</x:f>
        <x:v>1.3555039207108661</x:v>
      </x:c>
      <x:c r="AB6" s="9" t="n">
        <x:f>IF(B6="PMOS",-O6,O6)-ABS(V6)</x:f>
        <x:v>0.12756828163924938</x:v>
      </x:c>
      <x:c r="AC6" s="9" t="n">
        <x:f>AA6-ABS(W6)</x:f>
        <x:v>1.1945056929254791</x:v>
      </x:c>
    </x:row>
    <x:row r="7" ht="22" customHeight="1">
      <x:c r="A7" s="2" t="str">
        <x:v>XPM4</x:v>
      </x:c>
      <x:c r="B7" s="2" t="str">
        <x:v>PMOS</x:v>
      </x:c>
      <x:c r="C7" s="2" t="str">
        <x:v>sky130_fd_pr__pfet_01v8</x:v>
      </x:c>
      <x:c r="D7" s="2" t="str">
        <x:v>NET24</x:v>
      </x:c>
      <x:c r="E7" s="2" t="str">
        <x:v>VINP</x:v>
      </x:c>
      <x:c r="F7" s="2" t="str">
        <x:v>NET9</x:v>
      </x:c>
      <x:c r="G7" s="2" t="str">
        <x:v>VDD</x:v>
      </x:c>
      <x:c r="H7" s="13" t="n">
        <x:v>5</x:v>
      </x:c>
      <x:c r="I7" s="13" t="n">
        <x:v>0.5</x:v>
      </x:c>
      <x:c r="J7" s="15" t="n">
        <x:v>1</x:v>
      </x:c>
      <x:c r="K7" s="11" t="n">
        <x:v>0.000372232569926685</x:v>
      </x:c>
      <x:c r="L7" s="11" t="n">
        <x:v>0.9</x:v>
      </x:c>
      <x:c r="M7" s="11" t="n">
        <x:v>1.540263709624125</x:v>
      </x:c>
      <x:c r="N7" s="11" t="n">
        <x:v>1.8</x:v>
      </x:c>
      <x:c r="O7" s="11" t="n">
        <x:v>-0.6402637096241249</x:v>
      </x:c>
      <x:c r="P7" s="11" t="n">
        <x:v>-1.5398914770541983</x:v>
      </x:c>
      <x:c r="Q7" s="11" t="n">
        <x:v>0.2597362903758751</x:v>
      </x:c>
      <x:c r="R7" s="11" t="n">
        <x:v>3.903670340581659e-10</x:v>
      </x:c>
      <x:c r="S7" s="11" t="n">
        <x:v>1.116386739790821e-8</x:v>
      </x:c>
      <x:c r="T7" s="11" t="n">
        <x:v>5.978594431164925e-11</x:v>
      </x:c>
      <x:c r="U7" s="11" t="n">
        <x:v>2.693445058187662e-9</x:v>
      </x:c>
      <x:c r="V7" s="11" t="n">
        <x:v>1.042640659486584</x:v>
      </x:c>
      <x:c r="W7" s="11" t="n">
        <x:v>0.04493790415841653</x:v>
      </x:c>
      <x:c r="X7" s="11" t="n">
        <x:f>IF(ABS(R7)&gt;0,ABS(S7)/ABS(R7),"nan")</x:f>
        <x:v>28.598386707635665</x:v>
      </x:c>
      <x:c r="Y7" s="11" t="n">
        <x:f>IF(ABS(T7)&gt;0,ABS(S7)/ABS(T7),"nan")</x:f>
        <x:v>186.7306358784558</x:v>
      </x:c>
      <x:c r="Z7" s="11" t="n">
        <x:f>IF(ABS(T7)&gt;0,1/ABS(T7),"nan")</x:f>
        <x:v>16726339468.475214</x:v>
      </x:c>
      <x:c r="AA7" s="11" t="n">
        <x:f>IF(B7="PMOS",-P7,P7)</x:f>
        <x:v>1.5398914770541983</x:v>
      </x:c>
      <x:c r="AB7" s="11" t="n">
        <x:f>IF(B7="PMOS",-O7,O7)-ABS(V7)</x:f>
        <x:v>-0.4023769498624591</x:v>
      </x:c>
      <x:c r="AC7" s="11" t="n">
        <x:f>AA7-ABS(W7)</x:f>
        <x:v>1.4949535728957817</x:v>
      </x:c>
    </x:row>
    <x:row r="8" ht="22" customHeight="1">
      <x:c r="A8" s="7" t="str">
        <x:v>XPM3</x:v>
      </x:c>
      <x:c r="B8" s="7" t="str">
        <x:v>PMOS</x:v>
      </x:c>
      <x:c r="C8" s="7" t="str">
        <x:v>sky130_fd_pr__pfet_01v8</x:v>
      </x:c>
      <x:c r="D8" s="7" t="str">
        <x:v>NET35</x:v>
      </x:c>
      <x:c r="E8" s="7" t="str">
        <x:v>NET18</x:v>
      </x:c>
      <x:c r="F8" s="7" t="str">
        <x:v>VDD</x:v>
      </x:c>
      <x:c r="G8" s="7" t="str">
        <x:v>VDD</x:v>
      </x:c>
      <x:c r="H8" s="12" t="n">
        <x:v>5</x:v>
      </x:c>
      <x:c r="I8" s="12" t="n">
        <x:v>0.5</x:v>
      </x:c>
      <x:c r="J8" s="14" t="n">
        <x:v>1</x:v>
      </x:c>
      <x:c r="K8" s="9" t="n">
        <x:v>0.9936895650972986</x:v>
      </x:c>
      <x:c r="L8" s="9" t="n">
        <x:v>0.991393974169594</x:v>
      </x:c>
      <x:c r="M8" s="9" t="n">
        <x:v>1.8</x:v>
      </x:c>
      <x:c r="N8" s="9" t="n">
        <x:v>1.8</x:v>
      </x:c>
      <x:c r="O8" s="9" t="n">
        <x:v>-0.8086060258304061</x:v>
      </x:c>
      <x:c r="P8" s="9" t="n">
        <x:v>-0.8063104349027015</x:v>
      </x:c>
      <x:c r="Q8" s="9" t="n">
        <x:v>0</x:v>
      </x:c>
      <x:c r="R8" s="9" t="n">
        <x:v>7.48860756999581e-8</x:v>
      </x:c>
      <x:c r="S8" s="9" t="n">
        <x:v>0.000001341462354739853</x:v>
      </x:c>
      <x:c r="T8" s="9" t="n">
        <x:v>9.898717160529175e-9</x:v>
      </x:c>
      <x:c r="U8" s="9" t="n">
        <x:v>3.693615756385653e-7</x:v>
      </x:c>
      <x:c r="V8" s="9" t="n">
        <x:v>0.9823838022173869</x:v>
      </x:c>
      <x:c r="W8" s="9" t="n">
        <x:v>0.04709211634820112</x:v>
      </x:c>
      <x:c r="X8" s="9" t="n">
        <x:f>IF(ABS(R8)&gt;0,ABS(S8)/ABS(R8),"nan")</x:f>
        <x:v>17.913374979276735</x:v>
      </x:c>
      <x:c r="Y8" s="9" t="n">
        <x:f>IF(ABS(T8)&gt;0,ABS(S8)/ABS(T8),"nan")</x:f>
        <x:v>135.51880844609767</x:v>
      </x:c>
      <x:c r="Z8" s="9" t="n">
        <x:f>IF(ABS(T8)&gt;0,1/ABS(T8),"nan")</x:f>
        <x:v>101023191.56945595</x:v>
      </x:c>
      <x:c r="AA8" s="9" t="n">
        <x:f>IF(B8="PMOS",-P8,P8)</x:f>
        <x:v>0.8063104349027015</x:v>
      </x:c>
      <x:c r="AB8" s="9" t="n">
        <x:f>IF(B8="PMOS",-O8,O8)-ABS(V8)</x:f>
        <x:v>-0.17377777638698078</x:v>
      </x:c>
      <x:c r="AC8" s="9" t="n">
        <x:f>AA8-ABS(W8)</x:f>
        <x:v>0.7592183185545004</x:v>
      </x:c>
    </x:row>
    <x:row r="9" ht="22" customHeight="1">
      <x:c r="A9" s="2" t="str">
        <x:v>XPM2</x:v>
      </x:c>
      <x:c r="B9" s="2" t="str">
        <x:v>PMOS</x:v>
      </x:c>
      <x:c r="C9" s="2" t="str">
        <x:v>sky130_fd_pr__pfet_01v8</x:v>
      </x:c>
      <x:c r="D9" s="2" t="str">
        <x:v>NET18</x:v>
      </x:c>
      <x:c r="E9" s="2" t="str">
        <x:v>NET18</x:v>
      </x:c>
      <x:c r="F9" s="2" t="str">
        <x:v>VDD</x:v>
      </x:c>
      <x:c r="G9" s="2" t="str">
        <x:v>VDD</x:v>
      </x:c>
      <x:c r="H9" s="13" t="n">
        <x:v>5</x:v>
      </x:c>
      <x:c r="I9" s="13" t="n">
        <x:v>0.5</x:v>
      </x:c>
      <x:c r="J9" s="15" t="n">
        <x:v>1</x:v>
      </x:c>
      <x:c r="K9" s="11" t="n">
        <x:v>0.991393974169594</x:v>
      </x:c>
      <x:c r="L9" s="11" t="n">
        <x:v>0.991393974169594</x:v>
      </x:c>
      <x:c r="M9" s="11" t="n">
        <x:v>1.8</x:v>
      </x:c>
      <x:c r="N9" s="11" t="n">
        <x:v>1.8</x:v>
      </x:c>
      <x:c r="O9" s="11" t="n">
        <x:v>-0.8086060258304061</x:v>
      </x:c>
      <x:c r="P9" s="11" t="n">
        <x:v>-0.8086060258304061</x:v>
      </x:c>
      <x:c r="Q9" s="11" t="n">
        <x:v>0</x:v>
      </x:c>
      <x:c r="R9" s="11" t="n">
        <x:v>7.490879193650605e-8</x:v>
      </x:c>
      <x:c r="S9" s="11" t="n">
        <x:v>0.000001341854591198139</x:v>
      </x:c>
      <x:c r="T9" s="11" t="n">
        <x:v>9.8924778229962e-9</x:v>
      </x:c>
      <x:c r="U9" s="11" t="n">
        <x:v>3.694685591352607e-7</x:v>
      </x:c>
      <x:c r="V9" s="11" t="n">
        <x:v>0.9823750486562224</x:v>
      </x:c>
      <x:c r="W9" s="11" t="n">
        <x:v>0.04709259748594892</x:v>
      </x:c>
      <x:c r="X9" s="11" t="n">
        <x:f>IF(ABS(R9)&gt;0,ABS(S9)/ABS(R9),"nan")</x:f>
        <x:v>17.913178900755966</x:v>
      </x:c>
      <x:c r="Y9" s="11" t="n">
        <x:f>IF(ABS(T9)&gt;0,ABS(S9)/ABS(T9),"nan")</x:f>
        <x:v>135.64393220865696</x:v>
      </x:c>
      <x:c r="Z9" s="11" t="n">
        <x:f>IF(ABS(T9)&gt;0,1/ABS(T9),"nan")</x:f>
        <x:v>101086908.4462727</x:v>
      </x:c>
      <x:c r="AA9" s="11" t="n">
        <x:f>IF(B9="PMOS",-P9,P9)</x:f>
        <x:v>0.8086060258304061</x:v>
      </x:c>
      <x:c r="AB9" s="11" t="n">
        <x:f>IF(B9="PMOS",-O9,O9)-ABS(V9)</x:f>
        <x:v>-0.1737690228258163</x:v>
      </x:c>
      <x:c r="AC9" s="11" t="n">
        <x:f>AA9-ABS(W9)</x:f>
        <x:v>0.7615134283444571</x:v>
      </x:c>
    </x:row>
    <x:row r="10" ht="22" customHeight="1">
      <x:c r="A10" s="7" t="str">
        <x:v>XPM1</x:v>
      </x:c>
      <x:c r="B10" s="7" t="str">
        <x:v>PMOS</x:v>
      </x:c>
      <x:c r="C10" s="7" t="str">
        <x:v>sky130_fd_pr__pfet_01v8</x:v>
      </x:c>
      <x:c r="D10" s="7" t="str">
        <x:v>NET34</x:v>
      </x:c>
      <x:c r="E10" s="7" t="str">
        <x:v>NET34</x:v>
      </x:c>
      <x:c r="F10" s="7" t="str">
        <x:v>NET18</x:v>
      </x:c>
      <x:c r="G10" s="7" t="str">
        <x:v>VDD</x:v>
      </x:c>
      <x:c r="H10" s="12" t="n">
        <x:v>5</x:v>
      </x:c>
      <x:c r="I10" s="12" t="n">
        <x:v>0.5</x:v>
      </x:c>
      <x:c r="J10" s="14" t="n">
        <x:v>1</x:v>
      </x:c>
      <x:c r="K10" s="9" t="n">
        <x:v>0.0008041302087517727</x:v>
      </x:c>
      <x:c r="L10" s="9" t="n">
        <x:v>0.0008041302087517727</x:v>
      </x:c>
      <x:c r="M10" s="9" t="n">
        <x:v>0.991393974169594</x:v>
      </x:c>
      <x:c r="N10" s="9" t="n">
        <x:v>1.8</x:v>
      </x:c>
      <x:c r="O10" s="9" t="n">
        <x:v>-0.9905898439608422</x:v>
      </x:c>
      <x:c r="P10" s="9" t="n">
        <x:v>-0.9905898439608422</x:v>
      </x:c>
      <x:c r="Q10" s="9" t="n">
        <x:v>0.8086060258304061</x:v>
      </x:c>
      <x:c r="R10" s="9" t="n">
        <x:v>7.491042919527576e-8</x:v>
      </x:c>
      <x:c r="S10" s="9" t="n">
        <x:v>0.000001365082810720547</x:v>
      </x:c>
      <x:c r="T10" s="9" t="n">
        <x:v>9.615505283234696e-9</x:v>
      </x:c>
      <x:c r="U10" s="9" t="n">
        <x:v>2.632150283193959e-7</x:v>
      </x:c>
      <x:c r="V10" s="9" t="n">
        <x:v>1.156615753925219</x:v>
      </x:c>
      <x:c r="W10" s="9" t="n">
        <x:v>0.04978434306625808</x:v>
      </x:c>
      <x:c r="X10" s="9" t="n">
        <x:f>IF(ABS(R10)&gt;0,ABS(S10)/ABS(R10),"nan")</x:f>
        <x:v>18.22286730145495</x:v>
      </x:c>
      <x:c r="Y10" s="9" t="n">
        <x:f>IF(ABS(T10)&gt;0,ABS(S10)/ABS(T10),"nan")</x:f>
        <x:v>141.96683070838347</x:v>
      </x:c>
      <x:c r="Z10" s="9" t="n">
        <x:f>IF(ABS(T10)&gt;0,1/ABS(T10),"nan")</x:f>
        <x:v>103998694.87291217</x:v>
      </x:c>
      <x:c r="AA10" s="9" t="n">
        <x:f>IF(B10="PMOS",-P10,P10)</x:f>
        <x:v>0.9905898439608422</x:v>
      </x:c>
      <x:c r="AB10" s="9" t="n">
        <x:f>IF(B10="PMOS",-O10,O10)-ABS(V10)</x:f>
        <x:v>-0.16602590996437694</x:v>
      </x:c>
      <x:c r="AC10" s="9" t="n">
        <x:f>AA10-ABS(W10)</x:f>
        <x:v>0.940805500894584</x:v>
      </x:c>
    </x:row>
    <x:row r="11" ht="22" customHeight="1">
      <x:c r="A11" s="2" t="str">
        <x:v>XPM0</x:v>
      </x:c>
      <x:c r="B11" s="2" t="str">
        <x:v>PMOS</x:v>
      </x:c>
      <x:c r="C11" s="2" t="str">
        <x:v>sky130_fd_pr__pfet_01v8</x:v>
      </x:c>
      <x:c r="D11" s="2" t="str">
        <x:v>VOUT</x:v>
      </x:c>
      <x:c r="E11" s="2" t="str">
        <x:v>NET34</x:v>
      </x:c>
      <x:c r="F11" s="2" t="str">
        <x:v>NET35</x:v>
      </x:c>
      <x:c r="G11" s="2" t="str">
        <x:v>VDD</x:v>
      </x:c>
      <x:c r="H11" s="13" t="n">
        <x:v>5</x:v>
      </x:c>
      <x:c r="I11" s="13" t="n">
        <x:v>0.5</x:v>
      </x:c>
      <x:c r="J11" s="15" t="n">
        <x:v>1</x:v>
      </x:c>
      <x:c r="K11" s="11" t="n">
        <x:v>0.3693516491260987</x:v>
      </x:c>
      <x:c r="L11" s="11" t="n">
        <x:v>0.0008041302087517727</x:v>
      </x:c>
      <x:c r="M11" s="11" t="n">
        <x:v>0.9936895650972986</x:v>
      </x:c>
      <x:c r="N11" s="11" t="n">
        <x:v>1.8</x:v>
      </x:c>
      <x:c r="O11" s="11" t="n">
        <x:v>-0.9928854348885467</x:v>
      </x:c>
      <x:c r="P11" s="11" t="n">
        <x:v>-0.6243379159711999</x:v>
      </x:c>
      <x:c r="Q11" s="11" t="n">
        <x:v>0.8063104349027015</x:v>
      </x:c>
      <x:c r="R11" s="11" t="n">
        <x:v>7.488778436128196e-8</x:v>
      </x:c>
      <x:c r="S11" s="11" t="n">
        <x:v>0.00000136383685422713</x:v>
      </x:c>
      <x:c r="T11" s="11" t="n">
        <x:v>1.111163242395691e-8</x:v>
      </x:c>
      <x:c r="U11" s="11" t="n">
        <x:v>2.632285634715462e-7</x:v>
      </x:c>
      <x:c r="V11" s="11" t="n">
        <x:v>1.157587615371261</x:v>
      </x:c>
      <x:c r="W11" s="11" t="n">
        <x:v>0.04985487880492653</x:v>
      </x:c>
      <x:c r="X11" s="11" t="n">
        <x:f>IF(ABS(R11)&gt;0,ABS(S11)/ABS(R11),"nan")</x:f>
        <x:v>18.211739950103972</x:v>
      </x:c>
      <x:c r="Y11" s="11" t="n">
        <x:f>IF(ABS(T11)&gt;0,ABS(S11)/ABS(T11),"nan")</x:f>
        <x:v>122.7395581666893</x:v>
      </x:c>
      <x:c r="Z11" s="11" t="n">
        <x:f>IF(ABS(T11)&gt;0,1/ABS(T11),"nan")</x:f>
        <x:v>89995777.56405793</x:v>
      </x:c>
      <x:c r="AA11" s="11" t="n">
        <x:f>IF(B11="PMOS",-P11,P11)</x:f>
        <x:v>0.6243379159711999</x:v>
      </x:c>
      <x:c r="AB11" s="11" t="n">
        <x:f>IF(B11="PMOS",-O11,O11)-ABS(V11)</x:f>
        <x:v>-0.16470218048271423</x:v>
      </x:c>
      <x:c r="AC11" s="11" t="n">
        <x:f>AA11-ABS(W11)</x:f>
        <x:v>0.5744830371662734</x:v>
      </x:c>
    </x:row>
    <x:row r="12" ht="22" customHeight="1">
      <x:c r="A12" s="7" t="str">
        <x:v>XNM6</x:v>
      </x:c>
      <x:c r="B12" s="7" t="str">
        <x:v>NMOS</x:v>
      </x:c>
      <x:c r="C12" s="7" t="str">
        <x:v>sky130_fd_pr__nfet_01v8</x:v>
      </x:c>
      <x:c r="D12" s="7" t="str">
        <x:v>NET2</x:v>
      </x:c>
      <x:c r="E12" s="7" t="str">
        <x:v>VB2</x:v>
      </x:c>
      <x:c r="F12" s="7" t="str">
        <x:v>VSS</x:v>
      </x:c>
      <x:c r="G12" s="7" t="str">
        <x:v>VSS</x:v>
      </x:c>
      <x:c r="H12" s="12" t="n">
        <x:v>5</x:v>
      </x:c>
      <x:c r="I12" s="12" t="n">
        <x:v>0.5</x:v>
      </x:c>
      <x:c r="J12" s="14" t="n">
        <x:v>1</x:v>
      </x:c>
      <x:c r="K12" s="9" t="n">
        <x:v>0.03574270930883712</x:v>
      </x:c>
      <x:c r="L12" s="9" t="n">
        <x:v>0.6917463824735921</x:v>
      </x:c>
      <x:c r="M12" s="9" t="n">
        <x:v>0</x:v>
      </x:c>
      <x:c r="N12" s="9" t="n">
        <x:v>0</x:v>
      </x:c>
      <x:c r="O12" s="9" t="n">
        <x:v>0.6917463824735921</x:v>
      </x:c>
      <x:c r="P12" s="9" t="n">
        <x:v>0.03574270930883712</x:v>
      </x:c>
      <x:c r="Q12" s="9" t="n">
        <x:v>0</x:v>
      </x:c>
      <x:c r="R12" s="9" t="n">
        <x:v>0.00000502203206651354</x:v>
      </x:c>
      <x:c r="S12" s="9" t="n">
        <x:v>0.00006344111149631825</x:v>
      </x:c>
      <x:c r="T12" s="9" t="n">
        <x:v>0.0001072909474551067</x:v>
      </x:c>
      <x:c r="U12" s="9" t="n">
        <x:v>0.00001381100479512914</x:v>
      </x:c>
      <x:c r="V12" s="9" t="n">
        <x:v>0.6300982428201002</x:v>
      </x:c>
      <x:c r="W12" s="9" t="n">
        <x:v>0.0927172983698751</x:v>
      </x:c>
      <x:c r="X12" s="9" t="n">
        <x:f>IF(ABS(R12)&gt;0,ABS(S12)/ABS(R12),"nan")</x:f>
        <x:v>12.632558027523936</x:v>
      </x:c>
      <x:c r="Y12" s="9" t="n">
        <x:f>IF(ABS(T12)&gt;0,ABS(S12)/ABS(T12),"nan")</x:f>
        <x:v>0.5912997601485777</x:v>
      </x:c>
      <x:c r="Z12" s="9" t="n">
        <x:f>IF(ABS(T12)&gt;0,1/ABS(T12),"nan")</x:f>
        <x:v>9320.450827581943</x:v>
      </x:c>
      <x:c r="AA12" s="9" t="n">
        <x:f>IF(B12="PMOS",-P12,P12)</x:f>
        <x:v>0.03574270930883712</x:v>
      </x:c>
      <x:c r="AB12" s="9" t="n">
        <x:f>IF(B12="PMOS",-O12,O12)-ABS(V12)</x:f>
        <x:v>0.06164813965349192</x:v>
      </x:c>
      <x:c r="AC12" s="9" t="n">
        <x:f>AA12-ABS(W12)</x:f>
        <x:v>-0.056974589061037986</x:v>
      </x:c>
    </x:row>
    <x:row r="13" ht="22" customHeight="1">
      <x:c r="A13" s="2" t="str">
        <x:v>XNM5</x:v>
      </x:c>
      <x:c r="B13" s="2" t="str">
        <x:v>NMOS</x:v>
      </x:c>
      <x:c r="C13" s="2" t="str">
        <x:v>sky130_fd_pr__nfet_01v8</x:v>
      </x:c>
      <x:c r="D13" s="2" t="str">
        <x:v>VB2</x:v>
      </x:c>
      <x:c r="E13" s="2" t="str">
        <x:v>VB2</x:v>
      </x:c>
      <x:c r="F13" s="2" t="str">
        <x:v>NET2</x:v>
      </x:c>
      <x:c r="G13" s="2" t="str">
        <x:v>VSS</x:v>
      </x:c>
      <x:c r="H13" s="13" t="n">
        <x:v>5</x:v>
      </x:c>
      <x:c r="I13" s="13" t="n">
        <x:v>0.5</x:v>
      </x:c>
      <x:c r="J13" s="15" t="n">
        <x:v>1</x:v>
      </x:c>
      <x:c r="K13" s="11" t="n">
        <x:v>0.6917463824735921</x:v>
      </x:c>
      <x:c r="L13" s="11" t="n">
        <x:v>0.6917463824735921</x:v>
      </x:c>
      <x:c r="M13" s="11" t="n">
        <x:v>0.03574270930883712</x:v>
      </x:c>
      <x:c r="N13" s="11" t="n">
        <x:v>0</x:v>
      </x:c>
      <x:c r="O13" s="11" t="n">
        <x:v>0.6560036731647549</x:v>
      </x:c>
      <x:c r="P13" s="11" t="n">
        <x:v>0.6560036731647549</x:v>
      </x:c>
      <x:c r="Q13" s="11" t="n">
        <x:v>-0.03574270930883712</x:v>
      </x:c>
      <x:c r="R13" s="11" t="n">
        <x:v>0.000005022032151131574</x:v>
      </x:c>
      <x:c r="S13" s="11" t="n">
        <x:v>0.00009562688090182702</x:v>
      </x:c>
      <x:c r="T13" s="11" t="n">
        <x:v>7.98585467470342e-7</x:v>
      </x:c>
      <x:c r="U13" s="11" t="n">
        <x:v>0.00002025613063044519</x:v>
      </x:c>
      <x:c r="V13" s="11" t="n">
        <x:v>0.6370640996342992</x:v>
      </x:c>
      <x:c r="W13" s="11" t="n">
        <x:v>0.07272775868899614</x:v>
      </x:c>
      <x:c r="X13" s="11" t="n">
        <x:f>IF(ABS(R13)&gt;0,ABS(S13)/ABS(R13),"nan")</x:f>
        <x:v>19.041471265826164</x:v>
      </x:c>
      <x:c r="Y13" s="11" t="n">
        <x:f>IF(ABS(T13)&gt;0,ABS(S13)/ABS(T13),"nan")</x:f>
        <x:v>119.74533070923736</x:v>
      </x:c>
      <x:c r="Z13" s="11" t="n">
        <x:f>IF(ABS(T13)&gt;0,1/ABS(T13),"nan")</x:f>
        <x:v>1252214.1220121041</x:v>
      </x:c>
      <x:c r="AA13" s="11" t="n">
        <x:f>IF(B13="PMOS",-P13,P13)</x:f>
        <x:v>0.6560036731647549</x:v>
      </x:c>
      <x:c r="AB13" s="11" t="n">
        <x:f>IF(B13="PMOS",-O13,O13)-ABS(V13)</x:f>
        <x:v>0.018939573530455722</x:v>
      </x:c>
      <x:c r="AC13" s="11" t="n">
        <x:f>AA13-ABS(W13)</x:f>
        <x:v>0.5832759144757588</x:v>
      </x:c>
    </x:row>
    <x:row r="14" ht="22" customHeight="1">
      <x:c r="A14" s="7" t="str">
        <x:v>XNM4</x:v>
      </x:c>
      <x:c r="B14" s="7" t="str">
        <x:v>NMOS</x:v>
      </x:c>
      <x:c r="C14" s="7" t="str">
        <x:v>sky130_fd_pr__nfet_01v8</x:v>
      </x:c>
      <x:c r="D14" s="7" t="str">
        <x:v>VB3</x:v>
      </x:c>
      <x:c r="E14" s="7" t="str">
        <x:v>VB3</x:v>
      </x:c>
      <x:c r="F14" s="7" t="str">
        <x:v>VSS</x:v>
      </x:c>
      <x:c r="G14" s="7" t="str">
        <x:v>VSS</x:v>
      </x:c>
      <x:c r="H14" s="12" t="n">
        <x:v>5</x:v>
      </x:c>
      <x:c r="I14" s="12" t="n">
        <x:v>0.5</x:v>
      </x:c>
      <x:c r="J14" s="14" t="n">
        <x:v>1</x:v>
      </x:c>
      <x:c r="K14" s="9" t="n">
        <x:v>0.6486399237092703</x:v>
      </x:c>
      <x:c r="L14" s="9" t="n">
        <x:v>0.6486399237092703</x:v>
      </x:c>
      <x:c r="M14" s="9" t="n">
        <x:v>0</x:v>
      </x:c>
      <x:c r="N14" s="9" t="n">
        <x:v>0</x:v>
      </x:c>
      <x:c r="O14" s="9" t="n">
        <x:v>0.6486399237092703</x:v>
      </x:c>
      <x:c r="P14" s="9" t="n">
        <x:v>0.6486399237092703</x:v>
      </x:c>
      <x:c r="Q14" s="9" t="n">
        <x:v>0</x:v>
      </x:c>
      <x:c r="R14" s="9" t="n">
        <x:v>0.000005042353923389306</x:v>
      </x:c>
      <x:c r="S14" s="9" t="n">
        <x:v>0.00009576018306718632</x:v>
      </x:c>
      <x:c r="T14" s="9" t="n">
        <x:v>8.037034276530613e-7</x:v>
      </x:c>
      <x:c r="U14" s="9" t="n">
        <x:v>0.00002064371663959521</x:v>
      </x:c>
      <x:c r="V14" s="9" t="n">
        <x:v>0.6287535627013513</x:v>
      </x:c>
      <x:c r="W14" s="9" t="n">
        <x:v>0.07262637018749127</x:v>
      </x:c>
      <x:c r="X14" s="9" t="n">
        <x:f>IF(ABS(R14)&gt;0,ABS(S14)/ABS(R14),"nan")</x:f>
        <x:v>18.991166530972</x:v>
      </x:c>
      <x:c r="Y14" s="9" t="n">
        <x:f>IF(ABS(T14)&gt;0,ABS(S14)/ABS(T14),"nan")</x:f>
        <x:v>119.14865580058668</x:v>
      </x:c>
      <x:c r="Z14" s="9" t="n">
        <x:f>IF(ABS(T14)&gt;0,1/ABS(T14),"nan")</x:f>
        <x:v>1244240.0586994572</x:v>
      </x:c>
      <x:c r="AA14" s="9" t="n">
        <x:f>IF(B14="PMOS",-P14,P14)</x:f>
        <x:v>0.6486399237092703</x:v>
      </x:c>
      <x:c r="AB14" s="9" t="n">
        <x:f>IF(B14="PMOS",-O14,O14)-ABS(V14)</x:f>
        <x:v>0.019886361007918962</x:v>
      </x:c>
      <x:c r="AC14" s="9" t="n">
        <x:f>AA14-ABS(W14)</x:f>
        <x:v>0.576013553521779</x:v>
      </x:c>
    </x:row>
    <x:row r="15" ht="22" customHeight="1">
      <x:c r="A15" s="2" t="str">
        <x:v>XNM3</x:v>
      </x:c>
      <x:c r="B15" s="2" t="str">
        <x:v>NMOS</x:v>
      </x:c>
      <x:c r="C15" s="2" t="str">
        <x:v>sky130_fd_pr__nfet_01v8</x:v>
      </x:c>
      <x:c r="D15" s="2" t="str">
        <x:v>NET24</x:v>
      </x:c>
      <x:c r="E15" s="2" t="str">
        <x:v>VB3</x:v>
      </x:c>
      <x:c r="F15" s="2" t="str">
        <x:v>VSS</x:v>
      </x:c>
      <x:c r="G15" s="2" t="str">
        <x:v>VSS</x:v>
      </x:c>
      <x:c r="H15" s="13" t="n">
        <x:v>5</x:v>
      </x:c>
      <x:c r="I15" s="13" t="n">
        <x:v>0.5</x:v>
      </x:c>
      <x:c r="J15" s="15" t="n">
        <x:v>2</x:v>
      </x:c>
      <x:c r="K15" s="11" t="n">
        <x:v>0.000372232569926685</x:v>
      </x:c>
      <x:c r="L15" s="11" t="n">
        <x:v>0.6486399237092703</x:v>
      </x:c>
      <x:c r="M15" s="11" t="n">
        <x:v>0</x:v>
      </x:c>
      <x:c r="N15" s="11" t="n">
        <x:v>0</x:v>
      </x:c>
      <x:c r="O15" s="11" t="n">
        <x:v>0.6486399237092703</x:v>
      </x:c>
      <x:c r="P15" s="11" t="n">
        <x:v>0.000372232569926685</x:v>
      </x:c>
      <x:c r="Q15" s="11" t="n">
        <x:v>0</x:v>
      </x:c>
      <x:c r="R15" s="11" t="n">
        <x:v>7.530441337447994e-8</x:v>
      </x:c>
      <x:c r="S15" s="11" t="n">
        <x:v>0.000001064260969098701</x:v>
      </x:c>
      <x:c r="T15" s="11" t="n">
        <x:v>0.0002017501247365197</x:v>
      </x:c>
      <x:c r="U15" s="11" t="n">
        <x:v>2.356292695329894e-7</x:v>
      </x:c>
      <x:c r="V15" s="11" t="n">
        <x:v>0.6301758447013855</x:v>
      </x:c>
      <x:c r="W15" s="11" t="n">
        <x:v>0.0720340697664424</x:v>
      </x:c>
      <x:c r="X15" s="11" t="n">
        <x:f>IF(ABS(R15)&gt;0,ABS(S15)/ABS(R15),"nan")</x:f>
        <x:v>14.132783477194852</x:v>
      </x:c>
      <x:c r="Y15" s="11" t="n">
        <x:f>IF(ABS(T15)&gt;0,ABS(S15)/ABS(T15),"nan")</x:f>
        <x:v>0.005275144045083479</x:v>
      </x:c>
      <x:c r="Z15" s="11" t="n">
        <x:f>IF(ABS(T15)&gt;0,1/ABS(T15),"nan")</x:f>
        <x:v>4956.626427398613</x:v>
      </x:c>
      <x:c r="AA15" s="11" t="n">
        <x:f>IF(B15="PMOS",-P15,P15)</x:f>
        <x:v>0.000372232569926685</x:v>
      </x:c>
      <x:c r="AB15" s="11" t="n">
        <x:f>IF(B15="PMOS",-O15,O15)-ABS(V15)</x:f>
        <x:v>0.018464079007884715</x:v>
      </x:c>
      <x:c r="AC15" s="11" t="n">
        <x:f>AA15-ABS(W15)</x:f>
        <x:v>-0.07166183719651571</x:v>
      </x:c>
    </x:row>
    <x:row r="16" ht="22" customHeight="1">
      <x:c r="A16" s="7" t="str">
        <x:v>XNM2</x:v>
      </x:c>
      <x:c r="B16" s="7" t="str">
        <x:v>NMOS</x:v>
      </x:c>
      <x:c r="C16" s="7" t="str">
        <x:v>sky130_fd_pr__nfet_01v8</x:v>
      </x:c>
      <x:c r="D16" s="7" t="str">
        <x:v>NET27</x:v>
      </x:c>
      <x:c r="E16" s="7" t="str">
        <x:v>VB3</x:v>
      </x:c>
      <x:c r="F16" s="7" t="str">
        <x:v>VSS</x:v>
      </x:c>
      <x:c r="G16" s="7" t="str">
        <x:v>VSS</x:v>
      </x:c>
      <x:c r="H16" s="12" t="n">
        <x:v>5</x:v>
      </x:c>
      <x:c r="I16" s="12" t="n">
        <x:v>0.5</x:v>
      </x:c>
      <x:c r="J16" s="14" t="n">
        <x:v>2</x:v>
      </x:c>
      <x:c r="K16" s="9" t="n">
        <x:v>0.1847597889132588</x:v>
      </x:c>
      <x:c r="L16" s="9" t="n">
        <x:v>0.6486399237092703</x:v>
      </x:c>
      <x:c r="M16" s="9" t="n">
        <x:v>0</x:v>
      </x:c>
      <x:c r="N16" s="9" t="n">
        <x:v>0</x:v>
      </x:c>
      <x:c r="O16" s="9" t="n">
        <x:v>0.6486399237092703</x:v>
      </x:c>
      <x:c r="P16" s="9" t="n">
        <x:v>0.1847597889132588</x:v>
      </x:c>
      <x:c r="Q16" s="9" t="n">
        <x:v>0</x:v>
      </x:c>
      <x:c r="R16" s="9" t="n">
        <x:v>0.000009075854704891432</x:v>
      </x:c>
      <x:c r="S16" s="9" t="n">
        <x:v>0.0001732555922599022</x:v>
      </x:c>
      <x:c r="T16" s="9" t="n">
        <x:v>0.000004103730614988344</x:v>
      </x:c>
      <x:c r="U16" s="9" t="n">
        <x:v>0.00003740460849359971</x:v>
      </x:c>
      <x:c r="V16" s="9" t="n">
        <x:v>0.6297713033274833</x:v>
      </x:c>
      <x:c r="W16" s="9" t="n">
        <x:v>0.07220188521001104</x:v>
      </x:c>
      <x:c r="X16" s="9" t="n">
        <x:f>IF(ABS(R16)&gt;0,ABS(S16)/ABS(R16),"nan")</x:f>
        <x:v>19.089727402370833</x:v>
      </x:c>
      <x:c r="Y16" s="9" t="n">
        <x:f>IF(ABS(T16)&gt;0,ABS(S16)/ABS(T16),"nan")</x:f>
        <x:v>42.2190461593918</x:v>
      </x:c>
      <x:c r="Z16" s="9" t="n">
        <x:f>IF(ABS(T16)&gt;0,1/ABS(T16),"nan")</x:f>
        <x:v>243680.71245895862</x:v>
      </x:c>
      <x:c r="AA16" s="9" t="n">
        <x:f>IF(B16="PMOS",-P16,P16)</x:f>
        <x:v>0.1847597889132588</x:v>
      </x:c>
      <x:c r="AB16" s="9" t="n">
        <x:f>IF(B16="PMOS",-O16,O16)-ABS(V16)</x:f>
        <x:v>0.018868620381786938</x:v>
      </x:c>
      <x:c r="AC16" s="9" t="n">
        <x:f>AA16-ABS(W16)</x:f>
        <x:v>0.11255790370324777</x:v>
      </x:c>
    </x:row>
    <x:row r="17" ht="22" customHeight="1">
      <x:c r="A17" s="2" t="str">
        <x:v>XNM1</x:v>
      </x:c>
      <x:c r="B17" s="2" t="str">
        <x:v>NMOS</x:v>
      </x:c>
      <x:c r="C17" s="2" t="str">
        <x:v>sky130_fd_pr__nfet_01v8</x:v>
      </x:c>
      <x:c r="D17" s="2" t="str">
        <x:v>NET34</x:v>
      </x:c>
      <x:c r="E17" s="2" t="str">
        <x:v>VB2</x:v>
      </x:c>
      <x:c r="F17" s="2" t="str">
        <x:v>NET24</x:v>
      </x:c>
      <x:c r="G17" s="2" t="str">
        <x:v>VSS</x:v>
      </x:c>
      <x:c r="H17" s="13" t="n">
        <x:v>5</x:v>
      </x:c>
      <x:c r="I17" s="13" t="n">
        <x:v>0.5</x:v>
      </x:c>
      <x:c r="J17" s="15" t="n">
        <x:v>1</x:v>
      </x:c>
      <x:c r="K17" s="11" t="n">
        <x:v>0.0008041302087517727</x:v>
      </x:c>
      <x:c r="L17" s="11" t="n">
        <x:v>0.6917463824735921</x:v>
      </x:c>
      <x:c r="M17" s="11" t="n">
        <x:v>0.000372232569926685</x:v>
      </x:c>
      <x:c r="N17" s="11" t="n">
        <x:v>0</x:v>
      </x:c>
      <x:c r="O17" s="11" t="n">
        <x:v>0.6913741499036654</x:v>
      </x:c>
      <x:c r="P17" s="11" t="n">
        <x:v>0.0004318976388250877</x:v>
      </x:c>
      <x:c r="Q17" s="11" t="n">
        <x:v>-0.000372232569926685</x:v>
      </x:c>
      <x:c r="R17" s="11" t="n">
        <x:v>7.491223795539422e-8</x:v>
      </x:c>
      <x:c r="S17" s="11" t="n">
        <x:v>8.412473268757148e-7</x:v>
      </x:c>
      <x:c r="T17" s="11" t="n">
        <x:v>0.0001730263894032109</x:v>
      </x:c>
      <x:c r="U17" s="11" t="n">
        <x:v>1.849079469954089e-7</x:v>
      </x:c>
      <x:c r="V17" s="11" t="n">
        <x:v>0.6302633805990099</x:v>
      </x:c>
      <x:c r="W17" s="11" t="n">
        <x:v>0.09243628478394732</x:v>
      </x:c>
      <x:c r="X17" s="11" t="n">
        <x:f>IF(ABS(R17)&gt;0,ABS(S17)/ABS(R17),"nan")</x:f>
        <x:v>11.22977166129555</x:v>
      </x:c>
      <x:c r="Y17" s="11" t="n">
        <x:f>IF(ABS(T17)&gt;0,ABS(S17)/ABS(T17),"nan")</x:f>
        <x:v>0.0048619596685643115</x:v>
      </x:c>
      <x:c r="Z17" s="11" t="n">
        <x:f>IF(ABS(T17)&gt;0,1/ABS(T17),"nan")</x:f>
        <x:v>5779.465221745202</x:v>
      </x:c>
      <x:c r="AA17" s="11" t="n">
        <x:f>IF(B17="PMOS",-P17,P17)</x:f>
        <x:v>0.0004318976388250877</x:v>
      </x:c>
      <x:c r="AB17" s="11" t="n">
        <x:f>IF(B17="PMOS",-O17,O17)-ABS(V17)</x:f>
        <x:v>0.06111076930465553</x:v>
      </x:c>
      <x:c r="AC17" s="11" t="n">
        <x:f>AA17-ABS(W17)</x:f>
        <x:v>-0.09200438714512223</x:v>
      </x:c>
    </x:row>
    <x:row r="18" ht="22" customHeight="1">
      <x:c r="A18" s="7" t="str">
        <x:v>XNM0</x:v>
      </x:c>
      <x:c r="B18" s="7" t="str">
        <x:v>NMOS</x:v>
      </x:c>
      <x:c r="C18" s="7" t="str">
        <x:v>sky130_fd_pr__nfet_01v8</x:v>
      </x:c>
      <x:c r="D18" s="7" t="str">
        <x:v>VOUT</x:v>
      </x:c>
      <x:c r="E18" s="7" t="str">
        <x:v>VB2</x:v>
      </x:c>
      <x:c r="F18" s="7" t="str">
        <x:v>NET27</x:v>
      </x:c>
      <x:c r="G18" s="7" t="str">
        <x:v>VSS</x:v>
      </x:c>
      <x:c r="H18" s="12" t="n">
        <x:v>5</x:v>
      </x:c>
      <x:c r="I18" s="12" t="n">
        <x:v>0.5</x:v>
      </x:c>
      <x:c r="J18" s="14" t="n">
        <x:v>1</x:v>
      </x:c>
      <x:c r="K18" s="9" t="n">
        <x:v>0.3693516491260987</x:v>
      </x:c>
      <x:c r="L18" s="9" t="n">
        <x:v>0.6917463824735921</x:v>
      </x:c>
      <x:c r="M18" s="9" t="n">
        <x:v>0.1847597889132588</x:v>
      </x:c>
      <x:c r="N18" s="9" t="n">
        <x:v>0</x:v>
      </x:c>
      <x:c r="O18" s="9" t="n">
        <x:v>0.5069865935603333</x:v>
      </x:c>
      <x:c r="P18" s="9" t="n">
        <x:v>0.18459186021283988</x:v>
      </x:c>
      <x:c r="Q18" s="9" t="n">
        <x:v>-0.1847597889132588</x:v>
      </x:c>
      <x:c r="R18" s="9" t="n">
        <x:v>7.488876967175212e-8</x:v>
      </x:c>
      <x:c r="S18" s="9" t="n">
        <x:v>0.00000190011664009614</x:v>
      </x:c>
      <x:c r="T18" s="9" t="n">
        <x:v>3.211847261358004e-8</x:v>
      </x:c>
      <x:c r="U18" s="9" t="n">
        <x:v>4.034226070678185e-7</x:v>
      </x:c>
      <x:c r="V18" s="9" t="n">
        <x:v>0.6710198364373583</x:v>
      </x:c>
      <x:c r="W18" s="9" t="n">
        <x:v>0.04241083200684086</x:v>
      </x:c>
      <x:c r="X18" s="9" t="n">
        <x:f>IF(ABS(R18)&gt;0,ABS(S18)/ABS(R18),"nan")</x:f>
        <x:v>25.37251778103199</x:v>
      </x:c>
      <x:c r="Y18" s="9" t="n">
        <x:f>IF(ABS(T18)&gt;0,ABS(S18)/ABS(T18),"nan")</x:f>
        <x:v>59.159620164900055</x:v>
      </x:c>
      <x:c r="Z18" s="9" t="n">
        <x:f>IF(ABS(T18)&gt;0,1/ABS(T18),"nan")</x:f>
        <x:v>31134730.845737323</x:v>
      </x:c>
      <x:c r="AA18" s="9" t="n">
        <x:f>IF(B18="PMOS",-P18,P18)</x:f>
        <x:v>0.18459186021283988</x:v>
      </x:c>
      <x:c r="AB18" s="9" t="n">
        <x:f>IF(B18="PMOS",-O18,O18)-ABS(V18)</x:f>
        <x:v>-0.16403324287702503</x:v>
      </x:c>
      <x:c r="AC18" s="9" t="n">
        <x:f>AA18-ABS(W18)</x:f>
        <x:v>0.14218102820599904</x:v>
      </x:c>
    </x:row>
    <x:row r="20">
      <x:c r="A20" t="str">
        <x:v>DC snapshot: XDUT_CM voltage follower. Signed terminal voltages; model currents already include 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34" customHeight="1">
      <x:c r="A1" s="6" t="str">
        <x:v>Device</x:v>
      </x:c>
      <x:c r="B1" s="6" t="str">
        <x:v>MOS_Type</x:v>
      </x:c>
      <x:c r="C1" s="6" t="str">
        <x:v>M</x:v>
      </x:c>
      <x:c r="D1" s="6" t="str">
        <x:v>cgg_F</x:v>
      </x:c>
      <x:c r="E1" s="6" t="str">
        <x:v>cgs_F</x:v>
      </x:c>
      <x:c r="F1" s="6" t="str">
        <x:v>cgd_F</x:v>
      </x:c>
      <x:c r="G1" s="6" t="str">
        <x:v>cgb_F</x:v>
      </x:c>
      <x:c r="H1" s="6" t="str">
        <x:v>cdg_F</x:v>
      </x:c>
      <x:c r="I1" s="6" t="str">
        <x:v>cdd_F</x:v>
      </x:c>
      <x:c r="J1" s="6" t="str">
        <x:v>cds_F</x:v>
      </x:c>
      <x:c r="K1" s="6" t="str">
        <x:v>cdb_F</x:v>
      </x:c>
      <x:c r="L1" s="6" t="str">
        <x:v>csg_F</x:v>
      </x:c>
      <x:c r="M1" s="6" t="str">
        <x:v>csd_F</x:v>
      </x:c>
      <x:c r="N1" s="6" t="str">
        <x:v>css_F</x:v>
      </x:c>
      <x:c r="O1" s="6" t="str">
        <x:v>csb_F</x:v>
      </x:c>
      <x:c r="P1" s="6" t="str">
        <x:v>cbg_F</x:v>
      </x:c>
      <x:c r="Q1" s="6" t="str">
        <x:v>cbd_F</x:v>
      </x:c>
      <x:c r="R1" s="6" t="str">
        <x:v>cbs_F</x:v>
      </x:c>
      <x:c r="S1" s="6" t="str">
        <x:v>cbb_F</x:v>
      </x:c>
      <x:c r="T1" s="6" t="str">
        <x:v>capbd_F</x:v>
      </x:c>
      <x:c r="U1" s="6" t="str">
        <x:v>capbs_F</x:v>
      </x:c>
      <x:c r="V1" s="6" t="str">
        <x:v>qg_C</x:v>
      </x:c>
      <x:c r="W1" s="6" t="str">
        <x:v>qb_C</x:v>
      </x:c>
      <x:c r="X1" s="6" t="str">
        <x:v>qd_C</x:v>
      </x:c>
      <x:c r="Y1" s="6" t="str">
        <x:v>qs_C</x:v>
      </x:c>
    </x:row>
    <x:row r="2" ht="22" customHeight="1">
      <x:c r="A2" s="7" t="str">
        <x:v>XPM9</x:v>
      </x:c>
      <x:c r="B2" s="7" t="str">
        <x:v>PMOS</x:v>
      </x:c>
      <x:c r="C2" s="14" t="n">
        <x:v>1</x:v>
      </x:c>
      <x:c r="D2" s="9" t="n">
        <x:v>1.214680459158039e-14</x:v>
      </x:c>
      <x:c r="E2" s="9" t="n">
        <x:v>-1.089747254427691e-14</x:v>
      </x:c>
      <x:c r="F2" s="9" t="n">
        <x:v>3.123464048557397e-17</x:v>
      </x:c>
      <x:c r="G2" s="9" t="n">
        <x:v>-1.280566687789056e-15</x:v>
      </x:c>
      <x:c r="H2" s="9" t="n">
        <x:v>-3.842891809111009e-15</x:v>
      </x:c>
      <x:c r="I2" s="9" t="n">
        <x:v>-1.323559365063121e-17</x:v>
      </x:c>
      <x:c r="J2" s="9" t="n">
        <x:v>4.895922310892101e-15</x:v>
      </x:c>
      <x:c r="K2" s="9" t="n">
        <x:v>-1.039794908130461e-15</x:v>
      </x:c>
      <x:c r="L2" s="9" t="n">
        <x:v>-5.759944007111633e-15</x:v>
      </x:c>
      <x:c r="M2" s="9" t="n">
        <x:v>-2.159678319829131e-17</x:v>
      </x:c>
      <x:c r="N2" s="9" t="n">
        <x:v>7.339860348232687e-15</x:v>
      </x:c>
      <x:c r="O2" s="9" t="n">
        <x:v>-1.558319557922765e-15</x:v>
      </x:c>
      <x:c r="P2" s="9" t="n">
        <x:v>-2.543968775357754e-15</x:v>
      </x:c>
      <x:c r="Q2" s="9" t="n">
        <x:v>3.597736363348552e-18</x:v>
      </x:c>
      <x:c r="R2" s="9" t="n">
        <x:v>-1.338310114847876e-15</x:v>
      </x:c>
      <x:c r="S2" s="9" t="n">
        <x:v>3.878681153842281e-15</x:v>
      </x:c>
      <x:c r="T2" s="9" t="n">
        <x:v>7.030865039185459e-16</x:v>
      </x:c>
      <x:c r="U2" s="9" t="n">
        <x:v>7.018847590049899e-16</x:v>
      </x:c>
      <x:c r="V2" s="9" t="n">
        <x:v>9.472437766286323e-15</x:v>
      </x:c>
      <x:c r="W2" s="9" t="n">
        <x:v>-7.05477693505444e-15</x:v>
      </x:c>
      <x:c r="X2" s="9" t="n">
        <x:v>-9.674280741439812e-16</x:v>
      </x:c>
      <x:c r="Y2" s="9" t="n">
        <x:v>-1.450232757087902e-15</x:v>
      </x:c>
    </x:row>
    <x:row r="3" ht="22" customHeight="1">
      <x:c r="A3" s="2" t="str">
        <x:v>XPM8</x:v>
      </x:c>
      <x:c r="B3" s="2" t="str">
        <x:v>PMOS</x:v>
      </x:c>
      <x:c r="C3" s="15" t="n">
        <x:v>1</x:v>
      </x:c>
      <x:c r="D3" s="11" t="n">
        <x:v>1.214906020976441e-14</x:v>
      </x:c>
      <x:c r="E3" s="11" t="n">
        <x:v>-1.090019656860239e-14</x:v>
      </x:c>
      <x:c r="F3" s="11" t="n">
        <x:v>3.136953208385514e-17</x:v>
      </x:c>
      <x:c r="G3" s="11" t="n">
        <x:v>-1.280233173245872e-15</x:v>
      </x:c>
      <x:c r="H3" s="11" t="n">
        <x:v>-3.843654345537203e-15</x:v>
      </x:c>
      <x:c r="I3" s="11" t="n">
        <x:v>-1.340127422416728e-17</x:v>
      </x:c>
      <x:c r="J3" s="11" t="n">
        <x:v>4.897014609364604e-15</x:v>
      </x:c>
      <x:c r="K3" s="11" t="n">
        <x:v>-1.039958989603233e-15</x:v>
      </x:c>
      <x:c r="L3" s="11" t="n">
        <x:v>-5.761458737812776e-15</x:v>
      </x:c>
      <x:c r="M3" s="11" t="n">
        <x:v>-2.164518686408116e-17</x:v>
      </x:c>
      <x:c r="N3" s="11" t="n">
        <x:v>7.341783389813091e-15</x:v>
      </x:c>
      <x:c r="O3" s="11" t="n">
        <x:v>-1.558679465136234e-15</x:v>
      </x:c>
      <x:c r="P3" s="11" t="n">
        <x:v>-2.54394712641443e-15</x:v>
      </x:c>
      <x:c r="Q3" s="11" t="n">
        <x:v>3.676929004393301e-18</x:v>
      </x:c>
      <x:c r="R3" s="11" t="n">
        <x:v>-1.338601430575302e-15</x:v>
      </x:c>
      <x:c r="S3" s="11" t="n">
        <x:v>3.878871627985338e-15</x:v>
      </x:c>
      <x:c r="T3" s="11" t="n">
        <x:v>6.922073497128109e-16</x:v>
      </x:c>
      <x:c r="U3" s="11" t="n">
        <x:v>7.018847590054111e-16</x:v>
      </x:c>
      <x:c r="V3" s="11" t="n">
        <x:v>9.473787162414444e-15</x:v>
      </x:c>
      <x:c r="W3" s="11" t="n">
        <x:v>-7.054620096894088e-15</x:v>
      </x:c>
      <x:c r="X3" s="11" t="n">
        <x:v>-9.68002279263333e-16</x:v>
      </x:c>
      <x:c r="Y3" s="11" t="n">
        <x:v>-1.451164786257023e-15</x:v>
      </x:c>
    </x:row>
    <x:row r="4" ht="22" customHeight="1">
      <x:c r="A4" s="7" t="str">
        <x:v>XPM7</x:v>
      </x:c>
      <x:c r="B4" s="7" t="str">
        <x:v>PMOS</x:v>
      </x:c>
      <x:c r="C4" s="14" t="n">
        <x:v>1</x:v>
      </x:c>
      <x:c r="D4" s="9" t="n">
        <x:v>1.214442480135964e-14</x:v>
      </x:c>
      <x:c r="E4" s="9" t="n">
        <x:v>-1.089457557961492e-14</x:v>
      </x:c>
      <x:c r="F4" s="9" t="n">
        <x:v>3.106464367516113e-17</x:v>
      </x:c>
      <x:c r="G4" s="9" t="n">
        <x:v>-1.280913865419883e-15</x:v>
      </x:c>
      <x:c r="H4" s="9" t="n">
        <x:v>-3.842122457087452e-15</x:v>
      </x:c>
      <x:c r="I4" s="9" t="n">
        <x:v>-1.302554149547776e-17</x:v>
      </x:c>
      <x:c r="J4" s="9" t="n">
        <x:v>4.894781468096307e-15</x:v>
      </x:c>
      <x:c r="K4" s="9" t="n">
        <x:v>-1.039633469513377e-15</x:v>
      </x:c>
      <x:c r="L4" s="9" t="n">
        <x:v>-5.758333347383116e-15</x:v>
      </x:c>
      <x:c r="M4" s="9" t="n">
        <x:v>-2.153629160293787e-17</x:v>
      </x:c>
      <x:c r="N4" s="9" t="n">
        <x:v>7.337807279668931e-15</x:v>
      </x:c>
      <x:c r="O4" s="9" t="n">
        <x:v>-1.557937640682879e-15</x:v>
      </x:c>
      <x:c r="P4" s="9" t="n">
        <x:v>-2.543968996889073e-15</x:v>
      </x:c>
      <x:c r="Q4" s="9" t="n">
        <x:v>3.497189423254497e-18</x:v>
      </x:c>
      <x:c r="R4" s="9" t="n">
        <x:v>-1.33801316815032e-15</x:v>
      </x:c>
      <x:c r="S4" s="9" t="n">
        <x:v>3.878484975616139e-15</x:v>
      </x:c>
      <x:c r="T4" s="9" t="n">
        <x:v>7.151379903638609e-16</x:v>
      </x:c>
      <x:c r="U4" s="9" t="n">
        <x:v>7.01884759004632e-16</x:v>
      </x:c>
      <x:c r="V4" s="9" t="n">
        <x:v>9.470999737879937e-15</x:v>
      </x:c>
      <x:c r="W4" s="9" t="n">
        <x:v>-7.054940760962021e-15</x:v>
      </x:c>
      <x:c r="X4" s="9" t="n">
        <x:v>-9.668218027691849e-16</x:v>
      </x:c>
      <x:c r="Y4" s="9" t="n">
        <x:v>-1.449237174148731e-15</x:v>
      </x:c>
    </x:row>
    <x:row r="5" ht="22" customHeight="1">
      <x:c r="A5" s="2" t="str">
        <x:v>XPM6</x:v>
      </x:c>
      <x:c r="B5" s="2" t="str">
        <x:v>PMOS</x:v>
      </x:c>
      <x:c r="C5" s="15" t="n">
        <x:v>2</x:v>
      </x:c>
      <x:c r="D5" s="11" t="n">
        <x:v>2.445237652005798e-14</x:v>
      </x:c>
      <x:c r="E5" s="11" t="n">
        <x:v>-2.168318089878e-14</x:v>
      </x:c>
      <x:c r="F5" s="11" t="n">
        <x:v>-2.613292494379622e-16</x:v>
      </x:c>
      <x:c r="G5" s="11" t="n">
        <x:v>-2.507866371840016e-15</x:v>
      </x:c>
      <x:c r="H5" s="11" t="n">
        <x:v>-7.966070878489524e-15</x:v>
      </x:c>
      <x:c r="I5" s="11" t="n">
        <x:v>3.764049098078581e-16</x:v>
      </x:c>
      <x:c r="J5" s="11" t="n">
        <x:v>9.75037934214962e-15</x:v>
      </x:c>
      <x:c r="K5" s="11" t="n">
        <x:v>-2.160713373467954e-15</x:v>
      </x:c>
      <x:c r="L5" s="11" t="n">
        <x:v>-1.155046922359386e-14</x:v>
      </x:c>
      <x:c r="M5" s="11" t="n">
        <x:v>7.716055611962856e-17</x:v>
      </x:c>
      <x:c r="N5" s="11" t="n">
        <x:v>1.460129500252252e-14</x:v>
      </x:c>
      <x:c r="O5" s="11" t="n">
        <x:v>-3.127986335048282e-15</x:v>
      </x:c>
      <x:c r="P5" s="11" t="n">
        <x:v>-4.935836417974594e-15</x:v>
      </x:c>
      <x:c r="Q5" s="11" t="n">
        <x:v>-1.922362164895245e-16</x:v>
      </x:c>
      <x:c r="R5" s="11" t="n">
        <x:v>-2.668493445892133e-15</x:v>
      </x:c>
      <x:c r="S5" s="11" t="n">
        <x:v>7.796566080356251e-15</x:v>
      </x:c>
      <x:c r="T5" s="11" t="n">
        <x:v>2.049382520900996e-15</x:v>
      </x:c>
      <x:c r="U5" s="11" t="n">
        <x:v>1.403769518002925e-15</x:v>
      </x:c>
      <x:c r="V5" s="11" t="n">
        <x:v>1.892203286992907e-14</x:v>
      </x:c>
      <x:c r="W5" s="11" t="n">
        <x:v>-1.409713305162772e-14</x:v>
      </x:c>
      <x:c r="X5" s="11" t="n">
        <x:v>-1.950232914468496e-15</x:v>
      </x:c>
      <x:c r="Y5" s="11" t="n">
        <x:v>-2.874666903832848e-15</x:v>
      </x:c>
    </x:row>
    <x:row r="6" ht="22" customHeight="1">
      <x:c r="A6" s="7" t="str">
        <x:v>XPM5</x:v>
      </x:c>
      <x:c r="B6" s="7" t="str">
        <x:v>PMOS</x:v>
      </x:c>
      <x:c r="C6" s="14" t="n">
        <x:v>1</x:v>
      </x:c>
      <x:c r="D6" s="9" t="n">
        <x:v>1.268783669139909e-14</x:v>
      </x:c>
      <x:c r="E6" s="9" t="n">
        <x:v>-1.176186194106449e-14</x:v>
      </x:c>
      <x:c r="F6" s="9" t="n">
        <x:v>3.531393836149675e-17</x:v>
      </x:c>
      <x:c r="G6" s="9" t="n">
        <x:v>-9.612886886960915e-16</x:v>
      </x:c>
      <x:c r="H6" s="9" t="n">
        <x:v>-4.141787860117401e-15</x:v>
      </x:c>
      <x:c r="I6" s="9" t="n">
        <x:v>-1.485959052443073e-17</x:v>
      </x:c>
      <x:c r="J6" s="9" t="n">
        <x:v>5.11766106349331e-15</x:v>
      </x:c>
      <x:c r="K6" s="9" t="n">
        <x:v>-9.610136128514785e-16</x:v>
      </x:c>
      <x:c r="L6" s="9" t="n">
        <x:v>-6.209476266485923e-15</x:v>
      </x:c>
      <x:c r="M6" s="9" t="n">
        <x:v>-2.343834232514834e-17</x:v>
      </x:c>
      <x:c r="N6" s="9" t="n">
        <x:v>7.673586667793247e-15</x:v>
      </x:c>
      <x:c r="O6" s="9" t="n">
        <x:v>-1.440672058982177e-15</x:v>
      </x:c>
      <x:c r="P6" s="9" t="n">
        <x:v>-2.336572564795763e-15</x:v>
      </x:c>
      <x:c r="Q6" s="9" t="n">
        <x:v>2.983994488082316e-18</x:v>
      </x:c>
      <x:c r="R6" s="9" t="n">
        <x:v>-1.029385790222066e-15</x:v>
      </x:c>
      <x:c r="S6" s="9" t="n">
        <x:v>3.362974360529747e-15</x:v>
      </x:c>
      <x:c r="T6" s="9" t="n">
        <x:v>5.939695088942006e-16</x:v>
      </x:c>
      <x:c r="U6" s="9" t="n">
        <x:v>1.024691260461649e-15</x:v>
      </x:c>
      <x:c r="V6" s="9" t="n">
        <x:v>1.112018922598655e-14</x:v>
      </x:c>
      <x:c r="W6" s="9" t="n">
        <x:v>-8.254302825229702e-15</x:v>
      </x:c>
      <x:c r="X6" s="9" t="n">
        <x:v>-1.146646227826335e-15</x:v>
      </x:c>
      <x:c r="Y6" s="9" t="n">
        <x:v>-1.719240172930513e-15</x:v>
      </x:c>
    </x:row>
    <x:row r="7" ht="22" customHeight="1">
      <x:c r="A7" s="2" t="str">
        <x:v>XPM4</x:v>
      </x:c>
      <x:c r="B7" s="2" t="str">
        <x:v>PMOS</x:v>
      </x:c>
      <x:c r="C7" s="15" t="n">
        <x:v>1</x:v>
      </x:c>
      <x:c r="D7" s="11" t="n">
        <x:v>4.370285594797068e-15</x:v>
      </x:c>
      <x:c r="E7" s="11" t="n">
        <x:v>-9.641936170728836e-16</x:v>
      </x:c>
      <x:c r="F7" s="11" t="n">
        <x:v>2.865761863885851e-18</x:v>
      </x:c>
      <x:c r="G7" s="11" t="n">
        <x:v>-3.40895773958807e-15</x:v>
      </x:c>
      <x:c r="H7" s="11" t="n">
        <x:v>-3.583654872530618e-16</x:v>
      </x:c>
      <x:c r="I7" s="11" t="n">
        <x:v>-1.346873573261864e-18</x:v>
      </x:c>
      <x:c r="J7" s="11" t="n">
        <x:v>4.545246855566894e-16</x:v>
      </x:c>
      <x:c r="K7" s="11" t="n">
        <x:v>-9.481232473036575e-17</x:v>
      </x:c>
      <x:c r="L7" s="11" t="n">
        <x:v>-5.374016851081746e-16</x:v>
      </x:c>
      <x:c r="M7" s="11" t="n">
        <x:v>-2.044227293150068e-18</x:v>
      </x:c>
      <x:c r="N7" s="11" t="n">
        <x:v>6.816225354291054e-16</x:v>
      </x:c>
      <x:c r="O7" s="11" t="n">
        <x:v>-1.421766230277804e-16</x:v>
      </x:c>
      <x:c r="P7" s="11" t="n">
        <x:v>-3.474518422435831e-15</x:v>
      </x:c>
      <x:c r="Q7" s="11" t="n">
        <x:v>5.253390025260807e-19</x:v>
      </x:c>
      <x:c r="R7" s="11" t="n">
        <x:v>-1.719536039129111e-16</x:v>
      </x:c>
      <x:c r="S7" s="11" t="n">
        <x:v>3.645946687346217e-15</x:v>
      </x:c>
      <x:c r="T7" s="11" t="n">
        <x:v>5.624908218925415e-16</x:v>
      </x:c>
      <x:c r="U7" s="11" t="n">
        <x:v>1.024691260456846e-15</x:v>
      </x:c>
      <x:c r="V7" s="11" t="n">
        <x:v>6.874722281977985e-15</x:v>
      </x:c>
      <x:c r="W7" s="11" t="n">
        <x:v>-6.756489167839822e-15</x:v>
      </x:c>
      <x:c r="X7" s="11" t="n">
        <x:v>-4.730092716254847e-17</x:v>
      </x:c>
      <x:c r="Y7" s="11" t="n">
        <x:v>-7.093218697561525e-17</x:v>
      </x:c>
    </x:row>
    <x:row r="8" ht="22" customHeight="1">
      <x:c r="A8" s="7" t="str">
        <x:v>XPM3</x:v>
      </x:c>
      <x:c r="B8" s="7" t="str">
        <x:v>PMOS</x:v>
      </x:c>
      <x:c r="C8" s="14" t="n">
        <x:v>1</x:v>
      </x:c>
      <x:c r="D8" s="9" t="n">
        <x:v>7.316871658431258e-15</x:v>
      </x:c>
      <x:c r="E8" s="9" t="n">
        <x:v>-4.519521296063483e-15</x:v>
      </x:c>
      <x:c r="F8" s="9" t="n">
        <x:v>1.263666216132058e-17</x:v>
      </x:c>
      <x:c r="G8" s="9" t="n">
        <x:v>-2.809987024529096e-15</x:v>
      </x:c>
      <x:c r="H8" s="9" t="n">
        <x:v>-1.642204925833107e-15</x:v>
      </x:c>
      <x:c r="I8" s="9" t="n">
        <x:v>-5.488590180458397e-18</x:v>
      </x:c>
      <x:c r="J8" s="9" t="n">
        <x:v>2.123906833783569e-15</x:v>
      </x:c>
      <x:c r="K8" s="9" t="n">
        <x:v>-4.762133177700041e-16</x:v>
      </x:c>
      <x:c r="L8" s="9" t="n">
        <x:v>-2.460636115469653e-15</x:v>
      </x:c>
      <x:c r="M8" s="9" t="n">
        <x:v>-9.180693083865852e-18</x:v>
      </x:c>
      <x:c r="N8" s="9" t="n">
        <x:v>3.183277352604291e-15</x:v>
      </x:c>
      <x:c r="O8" s="9" t="n">
        <x:v>-7.134605440507726e-16</x:v>
      </x:c>
      <x:c r="P8" s="9" t="n">
        <x:v>-3.214030617128498e-15</x:v>
      </x:c>
      <x:c r="Q8" s="9" t="n">
        <x:v>2.032621103003673e-18</x:v>
      </x:c>
      <x:c r="R8" s="9" t="n">
        <x:v>-7.876628903243782e-16</x:v>
      </x:c>
      <x:c r="S8" s="9" t="n">
        <x:v>3.999660886349873e-15</x:v>
      </x:c>
      <x:c r="T8" s="9" t="n">
        <x:v>7.905642837851891e-16</x:v>
      </x:c>
      <x:c r="U8" s="9" t="n">
        <x:v>7.018847590034309e-16</x:v>
      </x:c>
      <x:c r="V8" s="9" t="n">
        <x:v>6.98021442311779e-15</x:v>
      </x:c>
      <x:c r="W8" s="9" t="n">
        <x:v>-6.339074751140847e-15</x:v>
      </x:c>
      <x:c r="X8" s="9" t="n">
        <x:v>-2.566115057917248e-16</x:v>
      </x:c>
      <x:c r="Y8" s="9" t="n">
        <x:v>-3.845281661852183e-16</x:v>
      </x:c>
    </x:row>
    <x:row r="9" ht="22" customHeight="1">
      <x:c r="A9" s="2" t="str">
        <x:v>XPM2</x:v>
      </x:c>
      <x:c r="B9" s="2" t="str">
        <x:v>PMOS</x:v>
      </x:c>
      <x:c r="C9" s="15" t="n">
        <x:v>1</x:v>
      </x:c>
      <x:c r="D9" s="11" t="n">
        <x:v>7.317026844586244e-15</x:v>
      </x:c>
      <x:c r="E9" s="11" t="n">
        <x:v>-4.519717869187191e-15</x:v>
      </x:c>
      <x:c r="F9" s="11" t="n">
        <x:v>1.264231272859535e-17</x:v>
      </x:c>
      <x:c r="G9" s="11" t="n">
        <x:v>-2.809951288127648e-15</x:v>
      </x:c>
      <x:c r="H9" s="11" t="n">
        <x:v>-1.642267064415125e-15</x:v>
      </x:c>
      <x:c r="I9" s="11" t="n">
        <x:v>-5.495317021368125e-18</x:v>
      </x:c>
      <x:c r="J9" s="11" t="n">
        <x:v>2.123991890622869e-15</x:v>
      </x:c>
      <x:c r="K9" s="11" t="n">
        <x:v>-4.762295091863761e-16</x:v>
      </x:c>
      <x:c r="L9" s="11" t="n">
        <x:v>-2.460744710084624e-15</x:v>
      </x:c>
      <x:c r="M9" s="11" t="n">
        <x:v>-9.182829418141853e-18</x:v>
      </x:c>
      <x:c r="N9" s="11" t="n">
        <x:v>3.183417293860284e-15</x:v>
      </x:c>
      <x:c r="O9" s="11" t="n">
        <x:v>-7.134897543575183e-16</x:v>
      </x:c>
      <x:c r="P9" s="11" t="n">
        <x:v>-3.214015070086495e-15</x:v>
      </x:c>
      <x:c r="Q9" s="11" t="n">
        <x:v>2.035833710914632e-18</x:v>
      </x:c>
      <x:c r="R9" s="11" t="n">
        <x:v>-7.876913152959618e-16</x:v>
      </x:c>
      <x:c r="S9" s="11" t="n">
        <x:v>3.999670551671542e-15</x:v>
      </x:c>
      <x:c r="T9" s="11" t="n">
        <x:v>7.898136974152098e-16</x:v>
      </x:c>
      <x:c r="U9" s="11" t="n">
        <x:v>7.018847590034394e-16</x:v>
      </x:c>
      <x:c r="V9" s="11" t="n">
        <x:v>6.980243438221334e-15</x:v>
      </x:c>
      <x:c r="W9" s="11" t="n">
        <x:v>-6.339070081380021e-15</x:v>
      </x:c>
      <x:c r="X9" s="11" t="n">
        <x:v>-2.566241130845043e-16</x:v>
      </x:c>
      <x:c r="Y9" s="11" t="n">
        <x:v>-3.845492437568086e-16</x:v>
      </x:c>
    </x:row>
    <x:row r="10" ht="22" customHeight="1">
      <x:c r="A10" s="7" t="str">
        <x:v>XPM1</x:v>
      </x:c>
      <x:c r="B10" s="7" t="str">
        <x:v>PMOS</x:v>
      </x:c>
      <x:c r="C10" s="14" t="n">
        <x:v>1</x:v>
      </x:c>
      <x:c r="D10" s="9" t="n">
        <x:v>6.602648111217009e-15</x:v>
      </x:c>
      <x:c r="E10" s="9" t="n">
        <x:v>-4.626313322162726e-15</x:v>
      </x:c>
      <x:c r="F10" s="9" t="n">
        <x:v>1.434196390975321e-17</x:v>
      </x:c>
      <x:c r="G10" s="9" t="n">
        <x:v>-1.990676752964035e-15</x:v>
      </x:c>
      <x:c r="H10" s="9" t="n">
        <x:v>-1.669595758198915e-15</x:v>
      </x:c>
      <x:c r="I10" s="9" t="n">
        <x:v>-5.964730192063023e-18</x:v>
      </x:c>
      <x:c r="J10" s="9" t="n">
        <x:v>2.002163227208954e-15</x:v>
      </x:c>
      <x:c r="K10" s="9" t="n">
        <x:v>-3.266027388179759e-16</x:v>
      </x:c>
      <x:c r="L10" s="9" t="n">
        <x:v>-2.502606712749195e-15</x:v>
      </x:c>
      <x:c r="M10" s="9" t="n">
        <x:v>-9.439264707376622e-18</x:v>
      </x:c>
      <x:c r="N10" s="9" t="n">
        <x:v>3.001576579207204e-15</x:v>
      </x:c>
      <x:c r="O10" s="9" t="n">
        <x:v>-4.895306017506332e-16</x:v>
      </x:c>
      <x:c r="P10" s="9" t="n">
        <x:v>-2.430445640268899e-15</x:v>
      </x:c>
      <x:c r="Q10" s="9" t="n">
        <x:v>1.062030989686437e-18</x:v>
      </x:c>
      <x:c r="R10" s="9" t="n">
        <x:v>-3.774264842534316e-16</x:v>
      </x:c>
      <x:c r="S10" s="9" t="n">
        <x:v>2.806810093532644e-15</x:v>
      </x:c>
      <x:c r="T10" s="9" t="n">
        <x:v>5.625605095890779e-16</x:v>
      </x:c>
      <x:c r="U10" s="9" t="n">
        <x:v>7.898136974189055e-16</x:v>
      </x:c>
      <x:c r="V10" s="9" t="n">
        <x:v>1.012287870750672e-14</x:v>
      </x:c>
      <x:c r="W10" s="9" t="n">
        <x:v>-9.507510904206879e-15</x:v>
      </x:c>
      <x:c r="X10" s="9" t="n">
        <x:v>-2.462464950374536e-16</x:v>
      </x:c>
      <x:c r="Y10" s="9" t="n">
        <x:v>-3.691213082623918e-16</x:v>
      </x:c>
    </x:row>
    <x:row r="11" ht="22" customHeight="1">
      <x:c r="A11" s="2" t="str">
        <x:v>XPM0</x:v>
      </x:c>
      <x:c r="B11" s="2" t="str">
        <x:v>PMOS</x:v>
      </x:c>
      <x:c r="C11" s="15" t="n">
        <x:v>1</x:v>
      </x:c>
      <x:c r="D11" s="11" t="n">
        <x:v>6.633426939637723e-15</x:v>
      </x:c>
      <x:c r="E11" s="11" t="n">
        <x:v>-4.662318091631329e-15</x:v>
      </x:c>
      <x:c r="F11" s="11" t="n">
        <x:v>1.345052132736202e-17</x:v>
      </x:c>
      <x:c r="G11" s="11" t="n">
        <x:v>-1.984559369333757e-15</x:v>
      </x:c>
      <x:c r="H11" s="11" t="n">
        <x:v>-1.684084341835492e-15</x:v>
      </x:c>
      <x:c r="I11" s="11" t="n">
        <x:v>-4.808937227373064e-18</x:v>
      </x:c>
      <x:c r="J11" s="11" t="n">
        <x:v>2.018523383128389e-15</x:v>
      </x:c>
      <x:c r="K11" s="11" t="n">
        <x:v>-3.296301040655232e-16</x:v>
      </x:c>
      <x:c r="L11" s="11" t="n">
        <x:v>-2.521471966516729e-15</x:v>
      </x:c>
      <x:c r="M11" s="11" t="n">
        <x:v>-9.188223858680817e-18</x:v>
      </x:c>
      <x:c r="N11" s="11" t="n">
        <x:v>3.024135437365693e-15</x:v>
      </x:c>
      <x:c r="O11" s="11" t="n">
        <x:v>-4.93475246990283e-16</x:v>
      </x:c>
      <x:c r="P11" s="11" t="n">
        <x:v>-2.427870631285502e-15</x:v>
      </x:c>
      <x:c r="Q11" s="11" t="n">
        <x:v>5.466397586918575e-19</x:v>
      </x:c>
      <x:c r="R11" s="11" t="n">
        <x:v>-3.803407288627525e-16</x:v>
      </x:c>
      <x:c r="S11" s="11" t="n">
        <x:v>2.807664720389563e-15</x:v>
      </x:c>
      <x:c r="T11" s="11" t="n">
        <x:v>6.293862326578814e-16</x:v>
      </x:c>
      <x:c r="U11" s="11" t="n">
        <x:v>7.905642837881359e-16</x:v>
      </x:c>
      <x:c r="V11" s="11" t="n">
        <x:v>1.012836339662916e-14</x:v>
      </x:c>
      <x:c r="W11" s="11" t="n">
        <x:v>-9.506966495706822e-15</x:v>
      </x:c>
      <x:c r="X11" s="11" t="n">
        <x:v>-2.4880980008753e-16</x:v>
      </x:c>
      <x:c r="Y11" s="11" t="n">
        <x:v>-3.725871008348054e-16</x:v>
      </x:c>
    </x:row>
    <x:row r="12" ht="22" customHeight="1">
      <x:c r="A12" s="7" t="str">
        <x:v>XNM6</x:v>
      </x:c>
      <x:c r="B12" s="7" t="str">
        <x:v>NMOS</x:v>
      </x:c>
      <x:c r="C12" s="14" t="n">
        <x:v>1</x:v>
      </x:c>
      <x:c r="D12" s="9" t="n">
        <x:v>1.491840268956548e-14</x:v>
      </x:c>
      <x:c r="E12" s="9" t="n">
        <x:v>-7.605047716240056e-15</x:v>
      </x:c>
      <x:c r="F12" s="9" t="n">
        <x:v>-6.474177971932589e-15</x:v>
      </x:c>
      <x:c r="G12" s="9" t="n">
        <x:v>-8.391770013928342e-16</x:v>
      </x:c>
      <x:c r="H12" s="9" t="n">
        <x:v>-7.000046503951978e-15</x:v>
      </x:c>
      <x:c r="I12" s="9" t="n">
        <x:v>7.657920293810677e-15</x:v>
      </x:c>
      <x:c r="J12" s="9" t="n">
        <x:v>1.028385403232211e-15</x:v>
      </x:c>
      <x:c r="K12" s="9" t="n">
        <x:v>-1.68625919309091e-15</x:v>
      </x:c>
      <x:c r="L12" s="9" t="n">
        <x:v>-7.150150179731224e-15</x:v>
      </x:c>
      <x:c r="M12" s="9" t="n">
        <x:v>3.5418072391793e-15</x:v>
      </x:c>
      <x:c r="N12" s="9" t="n">
        <x:v>5.351083010545629e-15</x:v>
      </x:c>
      <x:c r="O12" s="9" t="n">
        <x:v>-1.742740069993706e-15</x:v>
      </x:c>
      <x:c r="P12" s="9" t="n">
        <x:v>-7.68206005882277e-16</x:v>
      </x:c>
      <x:c r="Q12" s="9" t="n">
        <x:v>-4.725549561057389e-15</x:v>
      </x:c>
      <x:c r="R12" s="9" t="n">
        <x:v>1.225579302462216e-15</x:v>
      </x:c>
      <x:c r="S12" s="9" t="n">
        <x:v>4.26817626447745e-15</x:v>
      </x:c>
      <x:c r="T12" s="9" t="n">
        <x:v>1.156686737470391e-15</x:v>
      </x:c>
      <x:c r="U12" s="9" t="n">
        <x:v>1.007492348313323e-15</x:v>
      </x:c>
      <x:c r="V12" s="9" t="n">
        <x:v>9.572642461487119e-15</x:v>
      </x:c>
      <x:c r="W12" s="9" t="n">
        <x:v>-6.24298960571865e-15</x:v>
      </x:c>
      <x:c r="X12" s="9" t="n">
        <x:v>-1.585873680784371e-15</x:v>
      </x:c>
      <x:c r="Y12" s="9" t="n">
        <x:v>-1.743779174984098e-15</x:v>
      </x:c>
    </x:row>
    <x:row r="13" ht="22" customHeight="1">
      <x:c r="A13" s="2" t="str">
        <x:v>XNM5</x:v>
      </x:c>
      <x:c r="B13" s="2" t="str">
        <x:v>NMOS</x:v>
      </x:c>
      <x:c r="C13" s="15" t="n">
        <x:v>1</x:v>
      </x:c>
      <x:c r="D13" s="11" t="n">
        <x:v>1.175803517190503e-14</x:v>
      </x:c>
      <x:c r="E13" s="11" t="n">
        <x:v>-1.027955002314555e-14</x:v>
      </x:c>
      <x:c r="F13" s="11" t="n">
        <x:v>1.332319526053722e-17</x:v>
      </x:c>
      <x:c r="G13" s="11" t="n">
        <x:v>-1.491808344020017e-15</x:v>
      </x:c>
      <x:c r="H13" s="11" t="n">
        <x:v>-3.66563735885287e-15</x:v>
      </x:c>
      <x:c r="I13" s="11" t="n">
        <x:v>-1.678636970924963e-18</x:v>
      </x:c>
      <x:c r="J13" s="11" t="n">
        <x:v>4.557678921491228e-15</x:v>
      </x:c>
      <x:c r="K13" s="11" t="n">
        <x:v>-8.90362925667434e-16</x:v>
      </x:c>
      <x:c r="L13" s="11" t="n">
        <x:v>-5.484994536232638e-15</x:v>
      </x:c>
      <x:c r="M13" s="11" t="n">
        <x:v>-1.039497367731479e-17</x:v>
      </x:c>
      <x:c r="N13" s="11" t="n">
        <x:v>6.827063225919395e-15</x:v>
      </x:c>
      <x:c r="O13" s="11" t="n">
        <x:v>-1.331673716009442e-15</x:v>
      </x:c>
      <x:c r="P13" s="11" t="n">
        <x:v>-2.607403276819518e-15</x:v>
      </x:c>
      <x:c r="Q13" s="11" t="n">
        <x:v>-1.249584612297464e-18</x:v>
      </x:c>
      <x:c r="R13" s="11" t="n">
        <x:v>-1.105192124265078e-15</x:v>
      </x:c>
      <x:c r="S13" s="11" t="n">
        <x:v>3.713844985696893e-15</x:v>
      </x:c>
      <x:c r="T13" s="11" t="n">
        <x:v>7.705343181349017e-16</x:v>
      </x:c>
      <x:c r="U13" s="11" t="n">
        <x:v>1.156686737474486e-15</x:v>
      </x:c>
      <x:c r="V13" s="11" t="n">
        <x:v>8.737364139237257e-15</x:v>
      </x:c>
      <x:c r="W13" s="11" t="n">
        <x:v>-6.621123061326919e-15</x:v>
      </x:c>
      <x:c r="X13" s="11" t="n">
        <x:v>-8.47445622105837e-16</x:v>
      </x:c>
      <x:c r="Y13" s="11" t="n">
        <x:v>-1.268795455804501e-15</x:v>
      </x:c>
    </x:row>
    <x:row r="14" ht="22" customHeight="1">
      <x:c r="A14" s="7" t="str">
        <x:v>XNM4</x:v>
      </x:c>
      <x:c r="B14" s="7" t="str">
        <x:v>NMOS</x:v>
      </x:c>
      <x:c r="C14" s="14" t="n">
        <x:v>1</x:v>
      </x:c>
      <x:c r="D14" s="9" t="n">
        <x:v>1.179320998123352e-14</x:v>
      </x:c>
      <x:c r="E14" s="9" t="n">
        <x:v>-1.02863895110146e-14</x:v>
      </x:c>
      <x:c r="F14" s="9" t="n">
        <x:v>1.304982088584571e-17</x:v>
      </x:c>
      <x:c r="G14" s="9" t="n">
        <x:v>-1.519870291104769e-15</x:v>
      </x:c>
      <x:c r="H14" s="9" t="n">
        <x:v>-3.666491148502631e-15</x:v>
      </x:c>
      <x:c r="I14" s="9" t="n">
        <x:v>-1.393543982811573e-18</x:v>
      </x:c>
      <x:c r="J14" s="9" t="n">
        <x:v>4.580282407965205e-15</x:v>
      </x:c>
      <x:c r="K14" s="9" t="n">
        <x:v>-9.123977154797623e-16</x:v>
      </x:c>
      <x:c r="L14" s="9" t="n">
        <x:v>-5.485895193809307e-15</x:v>
      </x:c>
      <x:c r="M14" s="9" t="n">
        <x:v>-1.031461830840778e-17</x:v>
      </x:c>
      <x:c r="N14" s="9" t="n">
        <x:v>6.860710211769925e-15</x:v>
      </x:c>
      <x:c r="O14" s="9" t="n">
        <x:v>-1.364500399652209e-15</x:v>
      </x:c>
      <x:c r="P14" s="9" t="n">
        <x:v>-2.640823638921581e-15</x:v>
      </x:c>
      <x:c r="Q14" s="9" t="n">
        <x:v>-1.341658594626361e-18</x:v>
      </x:c>
      <x:c r="R14" s="9" t="n">
        <x:v>-1.154603108720533e-15</x:v>
      </x:c>
      <x:c r="S14" s="9" t="n">
        <x:v>3.79676840623674e-15</x:v>
      </x:c>
      <x:c r="T14" s="9" t="n">
        <x:v>7.870520442651199e-16</x:v>
      </x:c>
      <x:c r="U14" s="9" t="n">
        <x:v>1.007492348317162e-15</x:v>
      </x:c>
      <x:c r="V14" s="9" t="n">
        <x:v>8.596721681823395e-15</x:v>
      </x:c>
      <x:c r="W14" s="9" t="n">
        <x:v>-6.467594362602422e-15</x:v>
      </x:c>
      <x:c r="X14" s="9" t="n">
        <x:v>-8.526298416424879e-16</x:v>
      </x:c>
      <x:c r="Y14" s="9" t="n">
        <x:v>-1.276497477578485e-15</x:v>
      </x:c>
    </x:row>
    <x:row r="15" ht="22" customHeight="1">
      <x:c r="A15" s="2" t="str">
        <x:v>XNM3</x:v>
      </x:c>
      <x:c r="B15" s="2" t="str">
        <x:v>NMOS</x:v>
      </x:c>
      <x:c r="C15" s="15" t="n">
        <x:v>2</x:v>
      </x:c>
      <x:c r="D15" s="11" t="n">
        <x:v>2.879514851824612e-14</x:v>
      </x:c>
      <x:c r="E15" s="11" t="n">
        <x:v>-1.122446903499213e-14</x:v>
      </x:c>
      <x:c r="F15" s="11" t="n">
        <x:v>-1.563202125053264e-14</x:v>
      </x:c>
      <x:c r="G15" s="11" t="n">
        <x:v>-1.938658232721355e-15</x:v>
      </x:c>
      <x:c r="H15" s="11" t="n">
        <x:v>-1.366752735575067e-14</x:v>
      </x:c>
      <x:c r="I15" s="11" t="n">
        <x:v>1.80382667660248e-14</x:v>
      </x:c>
      <x:c r="J15" s="11" t="n">
        <x:v>-9.709109564901078e-16</x:v>
      </x:c>
      <x:c r="K15" s="11" t="n">
        <x:v>-3.399828453784025e-15</x:v>
      </x:c>
      <x:c r="L15" s="11" t="n">
        <x:v>-1.367005543759776e-14</x:v>
      </x:c>
      <x:c r="M15" s="11" t="n">
        <x:v>8.99685385403145e-15</x:v>
      </x:c>
      <x:c r="N15" s="11" t="n">
        <x:v>8.07411508187992e-15</x:v>
      </x:c>
      <x:c r="O15" s="11" t="n">
        <x:v>-3.400913498313612e-15</x:v>
      </x:c>
      <x:c r="P15" s="11" t="n">
        <x:v>-1.457565724897693e-15</x:v>
      </x:c>
      <x:c r="Q15" s="11" t="n">
        <x:v>-1.140309936952361e-14</x:v>
      </x:c>
      <x:c r="R15" s="11" t="n">
        <x:v>4.121264909602315e-15</x:v>
      </x:c>
      <x:c r="S15" s="11" t="n">
        <x:v>8.739400184818992e-15</x:v>
      </x:c>
      <x:c r="T15" s="11" t="n">
        <x:v>2.381585893921304e-15</x:v>
      </x:c>
      <x:c r="U15" s="11" t="n">
        <x:v>2.014984696626126e-15</x:v>
      </x:c>
      <x:c r="V15" s="11" t="n">
        <x:v>1.838458436729905e-14</x:v>
      </x:c>
      <x:c r="W15" s="11" t="n">
        <x:v>-1.205389406706121e-14</x:v>
      </x:c>
      <x:c r="X15" s="11" t="n">
        <x:v>-3.163661471402913e-15</x:v>
      </x:c>
      <x:c r="Y15" s="11" t="n">
        <x:v>-3.16702882883493e-15</x:v>
      </x:c>
    </x:row>
    <x:row r="16" ht="22" customHeight="1">
      <x:c r="A16" s="7" t="str">
        <x:v>XNM2</x:v>
      </x:c>
      <x:c r="B16" s="7" t="str">
        <x:v>NMOS</x:v>
      </x:c>
      <x:c r="C16" s="14" t="n">
        <x:v>2</x:v>
      </x:c>
      <x:c r="D16" s="9" t="n">
        <x:v>2.403394440714427e-14</x:v>
      </x:c>
      <x:c r="E16" s="9" t="n">
        <x:v>-2.040499531789131e-14</x:v>
      </x:c>
      <x:c r="F16" s="9" t="n">
        <x:v>-7.019838432698192e-16</x:v>
      </x:c>
      <x:c r="G16" s="9" t="n">
        <x:v>-2.926965245983147e-15</x:v>
      </x:c>
      <x:c r="H16" s="9" t="n">
        <x:v>-7.953638066655651e-15</x:v>
      </x:c>
      <x:c r="I16" s="9" t="n">
        <x:v>9.51896101747813e-16</x:v>
      </x:c>
      <x:c r="J16" s="9" t="n">
        <x:v>8.989691602880734e-15</x:v>
      </x:c>
      <x:c r="K16" s="9" t="n">
        <x:v>-1.987949637972896e-15</x:v>
      </x:c>
      <x:c r="L16" s="9" t="n">
        <x:v>-1.114714265958701e-14</x:v>
      </x:c>
      <x:c r="M16" s="9" t="n">
        <x:v>2.828397562418108e-16</x:v>
      </x:c>
      <x:c r="N16" s="9" t="n">
        <x:v>1.364047140628683e-14</x:v>
      </x:c>
      <x:c r="O16" s="9" t="n">
        <x:v>-2.776168502941624e-15</x:v>
      </x:c>
      <x:c r="P16" s="9" t="n">
        <x:v>-4.933163680901612e-15</x:v>
      </x:c>
      <x:c r="Q16" s="9" t="n">
        <x:v>-5.327520147198047e-16</x:v>
      </x:c>
      <x:c r="R16" s="9" t="n">
        <x:v>-2.225167691276251e-15</x:v>
      </x:c>
      <x:c r="S16" s="9" t="n">
        <x:v>7.691083386897668e-15</x:v>
      </x:c>
      <x:c r="T16" s="9" t="n">
        <x:v>2.068233324907651e-15</x:v>
      </x:c>
      <x:c r="U16" s="9" t="n">
        <x:v>2.014984696628544e-15</x:v>
      </x:c>
      <x:c r="V16" s="9" t="n">
        <x:v>1.722922650915644e-14</x:v>
      </x:c>
      <x:c r="W16" s="9" t="n">
        <x:v>-1.289908482812127e-14</x:v>
      </x:c>
      <x:c r="X16" s="9" t="n">
        <x:v>-1.767609158784834e-15</x:v>
      </x:c>
      <x:c r="Y16" s="9" t="n">
        <x:v>-2.562532522250338e-15</x:v>
      </x:c>
    </x:row>
    <x:row r="17" ht="22" customHeight="1">
      <x:c r="A17" s="2" t="str">
        <x:v>XNM1</x:v>
      </x:c>
      <x:c r="B17" s="2" t="str">
        <x:v>NMOS</x:v>
      </x:c>
      <x:c r="C17" s="15" t="n">
        <x:v>1</x:v>
      </x:c>
      <x:c r="D17" s="11" t="n">
        <x:v>1.519359419654117e-14</x:v>
      </x:c>
      <x:c r="E17" s="11" t="n">
        <x:v>-6.371331819963341e-15</x:v>
      </x:c>
      <x:c r="F17" s="11" t="n">
        <x:v>-8.03942275775347e-15</x:v>
      </x:c>
      <x:c r="G17" s="11" t="n">
        <x:v>-7.828396188243574e-16</x:v>
      </x:c>
      <x:c r="H17" s="11" t="n">
        <x:v>-7.314777931852954e-15</x:v>
      </x:c>
      <x:c r="I17" s="11" t="n">
        <x:v>9.277016211981188e-15</x:v>
      </x:c>
      <x:c r="J17" s="11" t="n">
        <x:v>-1.628820807810615e-16</x:v>
      </x:c>
      <x:c r="K17" s="11" t="n">
        <x:v>-1.799356199347172e-15</x:v>
      </x:c>
      <x:c r="L17" s="11" t="n">
        <x:v>-7.31595436267404e-15</x:v>
      </x:c>
      <x:c r="M17" s="11" t="n">
        <x:v>4.626733746230054e-15</x:v>
      </x:c>
      <x:c r="N17" s="11" t="n">
        <x:v>4.489145948785519e-15</x:v>
      </x:c>
      <x:c r="O17" s="11" t="n">
        <x:v>-1.799925332341533e-15</x:v>
      </x:c>
      <x:c r="P17" s="11" t="n">
        <x:v>-5.628619020141755e-16</x:v>
      </x:c>
      <x:c r="Q17" s="11" t="n">
        <x:v>-5.864327200457771e-15</x:v>
      </x:c>
      <x:c r="R17" s="11" t="n">
        <x:v>2.045067951958884e-15</x:v>
      </x:c>
      <x:c r="S17" s="11" t="n">
        <x:v>4.382121150513063e-15</x:v>
      </x:c>
      <x:c r="T17" s="11" t="n">
        <x:v>1.190362813220633e-15</x:v>
      </x:c>
      <x:c r="U17" s="11" t="n">
        <x:v>1.190792946960659e-15</x:v>
      </x:c>
      <x:c r="V17" s="11" t="n">
        <x:v>9.824957093428697e-15</x:v>
      </x:c>
      <x:c r="W17" s="11" t="n">
        <x:v>-6.056381808931514e-15</x:v>
      </x:c>
      <x:c r="X17" s="11" t="n">
        <x:v>-1.883282941292671e-15</x:v>
      </x:c>
      <x:c r="Y17" s="11" t="n">
        <x:v>-1.885292343204512e-15</x:v>
      </x:c>
    </x:row>
    <x:row r="18" ht="22" customHeight="1">
      <x:c r="A18" s="7" t="str">
        <x:v>XNM0</x:v>
      </x:c>
      <x:c r="B18" s="7" t="str">
        <x:v>NMOS</x:v>
      </x:c>
      <x:c r="C18" s="14" t="n">
        <x:v>1</x:v>
      </x:c>
      <x:c r="D18" s="9" t="n">
        <x:v>7.896902372068078e-15</x:v>
      </x:c>
      <x:c r="E18" s="9" t="n">
        <x:v>-5.534368178011164e-15</x:v>
      </x:c>
      <x:c r="F18" s="9" t="n">
        <x:v>-4.842097858581439e-17</x:v>
      </x:c>
      <x:c r="G18" s="9" t="n">
        <x:v>-2.314113215471099e-15</x:v>
      </x:c>
      <x:c r="H18" s="9" t="n">
        <x:v>-2.114146398006893e-15</x:v>
      </x:c>
      <x:c r="I18" s="9" t="n">
        <x:v>7.096340956224e-17</x:v>
      </x:c>
      <x:c r="J18" s="9" t="n">
        <x:v>2.541251750237717e-15</x:v>
      </x:c>
      <x:c r="K18" s="9" t="n">
        <x:v>-4.980687617930635e-16</x:v>
      </x:c>
      <x:c r="L18" s="9" t="n">
        <x:v>-3.093494425914189e-15</x:v>
      </x:c>
      <x:c r="M18" s="9" t="n">
        <x:v>1.577240132131582e-17</x:v>
      </x:c>
      <x:c r="N18" s="9" t="n">
        <x:v>3.804885358513815e-15</x:v>
      </x:c>
      <x:c r="O18" s="9" t="n">
        <x:v>-7.27163333920942e-16</x:v>
      </x:c>
      <x:c r="P18" s="9" t="n">
        <x:v>-2.689261548146996e-15</x:v>
      </x:c>
      <x:c r="Q18" s="9" t="n">
        <x:v>-3.831483229774142e-17</x:v>
      </x:c>
      <x:c r="R18" s="9" t="n">
        <x:v>-8.117689307403672e-16</x:v>
      </x:c>
      <x:c r="S18" s="9" t="n">
        <x:v>3.539345311185105e-15</x:v>
      </x:c>
      <x:c r="T18" s="9" t="n">
        <x:v>9.17171744919719e-16</x:v>
      </x:c>
      <x:c r="U18" s="9" t="n">
        <x:v>1.034116662455545e-15</x:v>
      </x:c>
      <x:c r="V18" s="9" t="n">
        <x:v>7.536924873211483e-15</x:v>
      </x:c>
      <x:c r="W18" s="9" t="n">
        <x:v>-6.763541734311137e-15</x:v>
      </x:c>
      <x:c r="X18" s="9" t="n">
        <x:v>-3.128340015868155e-16</x:v>
      </x:c>
      <x:c r="Y18" s="9" t="n">
        <x:v>-4.6054913731353e-16</x:v>
      </x:c>
    </x:row>
    <x:row r="20">
      <x:c r="A20" t="str">
        <x:v>Native BSIM capacitance/charge matrix. Preserve signs of cross terms.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4" hidden="0" customWidth="1"/>
  </x:cols>
  <x:sheetData>
    <x:row r="1" ht="34" customHeight="1">
      <x:c r="A1" s="6" t="str">
        <x:v>Metric</x:v>
      </x:c>
      <x:c r="B1" s="6" t="str">
        <x:v>Value</x:v>
      </x:c>
      <x:c r="C1" s="6" t="str">
        <x:v>Unit</x:v>
      </x:c>
    </x:row>
    <x:row r="2" ht="22" customHeight="1">
      <x:c r="A2" s="7" t="str">
        <x:v>DC_Gain_dB</x:v>
      </x:c>
      <x:c r="B2" s="9" t="n">
        <x:v>29.7941</x:v>
      </x:c>
      <x:c r="C2" s="7" t="str">
        <x:v>dB</x:v>
      </x:c>
    </x:row>
    <x:row r="3" ht="22" customHeight="1">
      <x:c r="A3" s="2" t="str">
        <x:v>UGF_Hz</x:v>
      </x:c>
      <x:c r="B3" s="11" t="n">
        <x:v>100665</x:v>
      </x:c>
      <x:c r="C3" s="2" t="str">
        <x:v>Hz</x:v>
      </x:c>
    </x:row>
    <x:row r="4" ht="22" customHeight="1">
      <x:c r="A4" s="7" t="str">
        <x:v>Phase_Margin_deg</x:v>
      </x:c>
      <x:c r="B4" s="9" t="n">
        <x:v>91.8009</x:v>
      </x:c>
      <x:c r="C4" s="7" t="str">
        <x:v>deg</x:v>
      </x:c>
    </x:row>
    <x:row r="5" ht="22" customHeight="1">
      <x:c r="A5" s="2" t="str">
        <x:v>CMRR_dB</x:v>
      </x:c>
      <x:c r="B5" s="11" t="n">
        <x:v>-5.91104</x:v>
      </x:c>
      <x:c r="C5" s="2" t="str">
        <x:v>dB</x:v>
      </x:c>
    </x:row>
    <x:row r="6" ht="22" customHeight="1">
      <x:c r="A6" s="7" t="str">
        <x:v>PSRR_Plus_dB</x:v>
      </x:c>
      <x:c r="B6" s="9" t="n">
        <x:v>-3.15494</x:v>
      </x:c>
      <x:c r="C6" s="7" t="str">
        <x:v>dB</x:v>
      </x:c>
    </x:row>
    <x:row r="7" ht="22" customHeight="1">
      <x:c r="A7" s="2" t="str">
        <x:v>PSRR_Minus_dB</x:v>
      </x:c>
      <x:c r="B7" s="11" t="n">
        <x:v>7.05098</x:v>
      </x:c>
      <x:c r="C7" s="2" t="str">
        <x:v>dB</x:v>
      </x:c>
    </x:row>
    <x:row r="8" ht="22" customHeight="1">
      <x:c r="A8" s="7" t="str">
        <x:v>Slew_Rise_V_us</x:v>
      </x:c>
      <x:c r="B8" s="9" t="n">
        <x:v>0.00601059</x:v>
      </x:c>
      <x:c r="C8" s="7" t="str">
        <x:v>V/us</x:v>
      </x:c>
    </x:row>
    <x:row r="9" ht="22" customHeight="1">
      <x:c r="A9" s="2" t="str">
        <x:v>Slew_Fall_V_us</x:v>
      </x:c>
      <x:c r="B9" s="11" t="n">
        <x:v>0.00427747</x:v>
      </x:c>
      <x:c r="C9" s="2" t="str">
        <x:v>V/us</x:v>
      </x:c>
    </x:row>
    <x:row r="10" ht="22" customHeight="1">
      <x:c r="A10" s="7" t="str">
        <x:v>Power_Quiescent_uW</x:v>
      </x:c>
      <x:c r="B10" s="9" t="n">
        <x:v>43.588</x:v>
      </x:c>
      <x:c r="C10" s="7" t="str">
        <x:v>uW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68" hidden="0" customWidth="1"/>
    <x:col min="4" max="4" width="14" hidden="0" customWidth="1"/>
    <x:col min="5" max="5" width="100" hidden="0" customWidth="1"/>
  </x:cols>
  <x:sheetData>
    <x:row r="1" ht="3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Notes</x:v>
      </x:c>
    </x:row>
    <x:row r="2" ht="22" customHeight="1">
      <x:c r="A2" s="7" t="str">
        <x:v>DC snapshot</x:v>
      </x:c>
      <x:c r="B2" s="7" t="str">
        <x:v>Instance</x:v>
      </x:c>
      <x:c r="C2" s="7" t="str">
        <x:v>XDUT_CM</x:v>
      </x:c>
      <x:c r="D2" s="7" t="str"/>
      <x:c r="E2" s="7" t="str">
        <x:v>Quiet voltage follower; same instance as quiescent power</x:v>
      </x:c>
    </x:row>
    <x:row r="3" ht="22" customHeight="1">
      <x:c r="A3" s="2" t="str">
        <x:v>DC snapshot</x:v>
      </x:c>
      <x:c r="B3" s="2" t="str">
        <x:v>VINP_actual</x:v>
      </x:c>
      <x:c r="C3" s="11" t="n">
        <x:v>0.9</x:v>
      </x:c>
      <x:c r="D3" s="2" t="str">
        <x:v>V</x:v>
      </x:c>
      <x:c r="E3" s="2" t="str">
        <x:v>Actual node voltage, not the requested target</x:v>
      </x:c>
    </x:row>
    <x:row r="4" ht="22" customHeight="1">
      <x:c r="A4" s="7" t="str">
        <x:v>DC snapshot</x:v>
      </x:c>
      <x:c r="B4" s="7" t="str">
        <x:v>VINN_actual</x:v>
      </x:c>
      <x:c r="C4" s="9" t="n">
        <x:v>0.3693516491260987</x:v>
      </x:c>
      <x:c r="D4" s="7" t="str">
        <x:v>V</x:v>
      </x:c>
      <x:c r="E4" s="7" t="str">
        <x:v>Feedback input may differ from VINP at an unhealthy point</x:v>
      </x:c>
    </x:row>
    <x:row r="5" ht="22" customHeight="1">
      <x:c r="A5" s="2" t="str">
        <x:v>DC snapshot</x:v>
      </x:c>
      <x:c r="B5" s="2" t="str">
        <x:v>VOUT_actual</x:v>
      </x:c>
      <x:c r="C5" s="11" t="n">
        <x:v>0.3693516491260987</x:v>
      </x:c>
      <x:c r="D5" s="2" t="str">
        <x:v>V</x:v>
      </x:c>
      <x:c r="E5" s="2" t="str">
        <x:v>Actual solved DC output</x:v>
      </x:c>
    </x:row>
    <x:row r="6" ht="22" customHeight="1">
      <x:c r="A6" s="7" t="str">
        <x:v>DC snapshot</x:v>
      </x:c>
      <x:c r="B6" s="7" t="str">
        <x:v>Follower_error</x:v>
      </x:c>
      <x:c r="C6" s="9" t="n">
        <x:v>-0.5306483508739013</x:v>
      </x:c>
      <x:c r="D6" s="7" t="str">
        <x:v>V</x:v>
      </x:c>
      <x:c r="E6" s="7" t="str">
        <x:v>VOUT minus VINP; signed</x:v>
      </x:c>
    </x:row>
    <x:row r="7" ht="22" customHeight="1">
      <x:c r="A7" s="2" t="str">
        <x:v>DC snapshot</x:v>
      </x:c>
      <x:c r="B7" s="2" t="str">
        <x:v>DM_CM_bias_difference</x:v>
      </x:c>
      <x:c r="C7" s="11" t="n">
        <x:v>-2.947642130379791e-14</x:v>
      </x:c>
      <x:c r="D7" s="2" t="str">
        <x:v>V</x:v>
      </x:c>
      <x:c r="E7" s="2" t="str">
        <x:v>OUT_DM minus OUT_CM</x:v>
      </x:c>
    </x:row>
    <x:row r="8" ht="22" customHeight="1">
      <x:c r="A8" s="7" t="str">
        <x:v>DC snapshot</x:v>
      </x:c>
      <x:c r="B8" s="7" t="str">
        <x:v>Power_Quiescent</x:v>
      </x:c>
      <x:c r="C8" s="9" t="n">
        <x:v>43.58798553453118</x:v>
      </x:c>
      <x:c r="D8" s="7" t="str">
        <x:v>uW</x:v>
      </x:c>
      <x:c r="E8" s="7" t="str">
        <x:v>One DUT instance only</x:v>
      </x:c>
    </x:row>
    <x:row r="9" ht="22" customHeight="1">
      <x:c r="A9" s="2" t="str">
        <x:v>Test condition</x:v>
      </x:c>
      <x:c r="B9" s="2" t="str">
        <x:v>SUPPLY_VDD</x:v>
      </x:c>
      <x:c r="C9" s="11" t="n">
        <x:v>1.8</x:v>
      </x:c>
      <x:c r="D9" s="2" t="str">
        <x:v>V</x:v>
      </x:c>
      <x:c r="E9" s="2" t="str"/>
    </x:row>
    <x:row r="10" ht="22" customHeight="1">
      <x:c r="A10" s="7" t="str">
        <x:v>Test condition</x:v>
      </x:c>
      <x:c r="B10" s="7" t="str">
        <x:v>SUPPLY_VSS</x:v>
      </x:c>
      <x:c r="C10" s="9" t="n">
        <x:v>0</x:v>
      </x:c>
      <x:c r="D10" s="7" t="str">
        <x:v>V</x:v>
      </x:c>
      <x:c r="E10" s="7" t="str"/>
    </x:row>
    <x:row r="11" ht="22" customHeight="1">
      <x:c r="A11" s="2" t="str">
        <x:v>Test condition</x:v>
      </x:c>
      <x:c r="B11" s="2" t="str">
        <x:v>INPUT_VCM</x:v>
      </x:c>
      <x:c r="C11" s="11" t="n">
        <x:v>0.9</x:v>
      </x:c>
      <x:c r="D11" s="2" t="str">
        <x:v>V</x:v>
      </x:c>
      <x:c r="E11" s="2" t="str"/>
    </x:row>
    <x:row r="12" ht="22" customHeight="1">
      <x:c r="A12" s="7" t="str">
        <x:v>Test condition</x:v>
      </x:c>
      <x:c r="B12" s="7" t="str">
        <x:v>LOAD_C</x:v>
      </x:c>
      <x:c r="C12" s="9" t="n">
        <x:v>1e-12</x:v>
      </x:c>
      <x:c r="D12" s="7" t="str">
        <x:v>F</x:v>
      </x:c>
      <x:c r="E12" s="7" t="str"/>
    </x:row>
    <x:row r="13" ht="22" customHeight="1">
      <x:c r="A13" s="2" t="str">
        <x:v>Test condition</x:v>
      </x:c>
      <x:c r="B13" s="2" t="str">
        <x:v>AC_DENSITY</x:v>
      </x:c>
      <x:c r="C13" s="11" t="n">
        <x:v>100</x:v>
      </x:c>
      <x:c r="D13" s="2" t="str">
        <x:v>points/dec</x:v>
      </x:c>
      <x:c r="E13" s="2" t="str"/>
    </x:row>
    <x:row r="14" ht="22" customHeight="1">
      <x:c r="A14" s="7" t="str">
        <x:v>Test condition</x:v>
      </x:c>
      <x:c r="B14" s="7" t="str">
        <x:v>AC_START_HZ</x:v>
      </x:c>
      <x:c r="C14" s="9" t="n">
        <x:v>0.1</x:v>
      </x:c>
      <x:c r="D14" s="7" t="str">
        <x:v>Hz</x:v>
      </x:c>
      <x:c r="E14" s="7" t="str"/>
    </x:row>
    <x:row r="15" ht="22" customHeight="1">
      <x:c r="A15" s="2" t="str">
        <x:v>Test condition</x:v>
      </x:c>
      <x:c r="B15" s="2" t="str">
        <x:v>AC_STOP_HZ</x:v>
      </x:c>
      <x:c r="C15" s="11" t="n">
        <x:v>50000000000</x:v>
      </x:c>
      <x:c r="D15" s="2" t="str">
        <x:v>Hz</x:v>
      </x:c>
      <x:c r="E15" s="2" t="str"/>
    </x:row>
    <x:row r="16" ht="22" customHeight="1">
      <x:c r="A16" s="7" t="str">
        <x:v>Test condition</x:v>
      </x:c>
      <x:c r="B16" s="7" t="str">
        <x:v>REF_HZ</x:v>
      </x:c>
      <x:c r="C16" s="9" t="n">
        <x:v>1</x:v>
      </x:c>
      <x:c r="D16" s="7" t="str">
        <x:v>Hz</x:v>
      </x:c>
      <x:c r="E16" s="7" t="str"/>
    </x:row>
    <x:row r="17" ht="22" customHeight="1">
      <x:c r="A17" s="2" t="str">
        <x:v>Test condition</x:v>
      </x:c>
      <x:c r="B17" s="2" t="str">
        <x:v>SR_LOW</x:v>
      </x:c>
      <x:c r="C17" s="11" t="n">
        <x:v>0.7000000000000001</x:v>
      </x:c>
      <x:c r="D17" s="2" t="str">
        <x:v>V</x:v>
      </x:c>
      <x:c r="E17" s="2" t="str"/>
    </x:row>
    <x:row r="18" ht="22" customHeight="1">
      <x:c r="A18" s="7" t="str">
        <x:v>Test condition</x:v>
      </x:c>
      <x:c r="B18" s="7" t="str">
        <x:v>SR_HIGH</x:v>
      </x:c>
      <x:c r="C18" s="9" t="n">
        <x:v>1.1</x:v>
      </x:c>
      <x:c r="D18" s="7" t="str">
        <x:v>V</x:v>
      </x:c>
      <x:c r="E18" s="7" t="str"/>
    </x:row>
    <x:row r="19" ht="22" customHeight="1">
      <x:c r="A19" s="2" t="str">
        <x:v>Test condition</x:v>
      </x:c>
      <x:c r="B19" s="2" t="str">
        <x:v>TEMP</x:v>
      </x:c>
      <x:c r="C19" s="11" t="n">
        <x:v>27</x:v>
      </x:c>
      <x:c r="D19" s="2" t="str">
        <x:v>degC</x:v>
      </x:c>
      <x:c r="E19" s="2" t="str"/>
    </x:row>
    <x:row r="20" ht="22" customHeight="1">
      <x:c r="A20" s="7" t="str">
        <x:v>Test condition</x:v>
      </x:c>
      <x:c r="B20" s="7" t="str">
        <x:v>PDK_PATH</x:v>
      </x:c>
      <x:c r="C20" s="7" t="str">
        <x:v>sky130_tt_mos.lib.spice</x:v>
      </x:c>
      <x:c r="D20" s="7" t="str"/>
      <x:c r="E20" s="7" t="str">
        <x:v>Validation: official Sky130 1.8-V MOS TT model mirror</x:v>
      </x:c>
    </x:row>
    <x:row r="21" ht="22" customHeight="1">
      <x:c r="A21" s="2" t="str">
        <x:v>Test condition</x:v>
      </x:c>
      <x:c r="B21" s="2" t="str">
        <x:v>CORNER</x:v>
      </x:c>
      <x:c r="C21" s="2" t="str">
        <x:v>tt</x:v>
      </x:c>
      <x:c r="D21" s="2" t="str"/>
      <x:c r="E21" s="2" t="str"/>
    </x:row>
    <x:row r="22" ht="22" customHeight="1">
      <x:c r="A22" s="7" t="str">
        <x:v>Design parameter</x:v>
      </x:c>
      <x:c r="B22" s="7" t="str">
        <x:v>DESVAR_W1</x:v>
      </x:c>
      <x:c r="C22" s="9" t="n">
        <x:v>5</x:v>
      </x:c>
      <x:c r="D22" s="7" t="str">
        <x:v>um</x:v>
      </x:c>
      <x:c r="E22" s="7" t="str">
        <x:v>Resolved numeric value</x:v>
      </x:c>
    </x:row>
    <x:row r="23" ht="22" customHeight="1">
      <x:c r="A23" s="2" t="str">
        <x:v>Design parameter</x:v>
      </x:c>
      <x:c r="B23" s="2" t="str">
        <x:v>DESVAR_L1</x:v>
      </x:c>
      <x:c r="C23" s="11" t="n">
        <x:v>0.5</x:v>
      </x:c>
      <x:c r="D23" s="2" t="str">
        <x:v>um</x:v>
      </x:c>
      <x:c r="E23" s="2" t="str">
        <x:v>Resolved numeric value</x:v>
      </x:c>
    </x:row>
    <x:row r="24" ht="22" customHeight="1">
      <x:c r="A24" s="7" t="str">
        <x:v>Design parameter</x:v>
      </x:c>
      <x:c r="B24" s="7" t="str">
        <x:v>DESVAR_W2</x:v>
      </x:c>
      <x:c r="C24" s="9" t="n">
        <x:v>5</x:v>
      </x:c>
      <x:c r="D24" s="7" t="str">
        <x:v>um</x:v>
      </x:c>
      <x:c r="E24" s="7" t="str">
        <x:v>Resolved numeric value</x:v>
      </x:c>
    </x:row>
    <x:row r="25" ht="22" customHeight="1">
      <x:c r="A25" s="2" t="str">
        <x:v>Design parameter</x:v>
      </x:c>
      <x:c r="B25" s="2" t="str">
        <x:v>DESVAR_L2</x:v>
      </x:c>
      <x:c r="C25" s="11" t="n">
        <x:v>0.5</x:v>
      </x:c>
      <x:c r="D25" s="2" t="str">
        <x:v>um</x:v>
      </x:c>
      <x:c r="E25" s="2" t="str">
        <x:v>Resolved numeric value</x:v>
      </x:c>
    </x:row>
    <x:row r="26" ht="22" customHeight="1">
      <x:c r="A26" s="7" t="str">
        <x:v>Design parameter</x:v>
      </x:c>
      <x:c r="B26" s="7" t="str">
        <x:v>DESVAR_W3</x:v>
      </x:c>
      <x:c r="C26" s="9" t="n">
        <x:v>5</x:v>
      </x:c>
      <x:c r="D26" s="7" t="str">
        <x:v>um</x:v>
      </x:c>
      <x:c r="E26" s="7" t="str">
        <x:v>Resolved numeric value</x:v>
      </x:c>
    </x:row>
    <x:row r="27" ht="22" customHeight="1">
      <x:c r="A27" s="2" t="str">
        <x:v>Design parameter</x:v>
      </x:c>
      <x:c r="B27" s="2" t="str">
        <x:v>DESVAR_L3</x:v>
      </x:c>
      <x:c r="C27" s="11" t="n">
        <x:v>0.5</x:v>
      </x:c>
      <x:c r="D27" s="2" t="str">
        <x:v>um</x:v>
      </x:c>
      <x:c r="E27" s="2" t="str">
        <x:v>Resolved numeric value</x:v>
      </x:c>
    </x:row>
    <x:row r="28" ht="22" customHeight="1">
      <x:c r="A28" s="7" t="str">
        <x:v>Design parameter</x:v>
      </x:c>
      <x:c r="B28" s="7" t="str">
        <x:v>DESVAR_W4</x:v>
      </x:c>
      <x:c r="C28" s="9" t="n">
        <x:v>5</x:v>
      </x:c>
      <x:c r="D28" s="7" t="str">
        <x:v>um</x:v>
      </x:c>
      <x:c r="E28" s="7" t="str">
        <x:v>Resolved numeric value</x:v>
      </x:c>
    </x:row>
    <x:row r="29" ht="22" customHeight="1">
      <x:c r="A29" s="2" t="str">
        <x:v>Design parameter</x:v>
      </x:c>
      <x:c r="B29" s="2" t="str">
        <x:v>DESVAR_L4</x:v>
      </x:c>
      <x:c r="C29" s="11" t="n">
        <x:v>0.5</x:v>
      </x:c>
      <x:c r="D29" s="2" t="str">
        <x:v>um</x:v>
      </x:c>
      <x:c r="E29" s="2" t="str">
        <x:v>Resolved numeric value</x:v>
      </x:c>
    </x:row>
    <x:row r="30" ht="22" customHeight="1">
      <x:c r="A30" s="7" t="str">
        <x:v>Design parameter</x:v>
      </x:c>
      <x:c r="B30" s="7" t="str">
        <x:v>DESVAR_W5</x:v>
      </x:c>
      <x:c r="C30" s="9" t="n">
        <x:v>5</x:v>
      </x:c>
      <x:c r="D30" s="7" t="str">
        <x:v>um</x:v>
      </x:c>
      <x:c r="E30" s="7" t="str">
        <x:v>Resolved numeric value</x:v>
      </x:c>
    </x:row>
    <x:row r="31" ht="22" customHeight="1">
      <x:c r="A31" s="2" t="str">
        <x:v>Design parameter</x:v>
      </x:c>
      <x:c r="B31" s="2" t="str">
        <x:v>DESVAR_L5</x:v>
      </x:c>
      <x:c r="C31" s="11" t="n">
        <x:v>0.5</x:v>
      </x:c>
      <x:c r="D31" s="2" t="str">
        <x:v>um</x:v>
      </x:c>
      <x:c r="E31" s="2" t="str">
        <x:v>Resolved numeric value</x:v>
      </x:c>
    </x:row>
    <x:row r="32" ht="22" customHeight="1">
      <x:c r="A32" s="7" t="str">
        <x:v>Design parameter</x:v>
      </x:c>
      <x:c r="B32" s="7" t="str">
        <x:v>DESVAR_W6</x:v>
      </x:c>
      <x:c r="C32" s="9" t="n">
        <x:v>5</x:v>
      </x:c>
      <x:c r="D32" s="7" t="str">
        <x:v>um</x:v>
      </x:c>
      <x:c r="E32" s="7" t="str">
        <x:v>Resolved numeric value</x:v>
      </x:c>
    </x:row>
    <x:row r="33" ht="22" customHeight="1">
      <x:c r="A33" s="2" t="str">
        <x:v>Design parameter</x:v>
      </x:c>
      <x:c r="B33" s="2" t="str">
        <x:v>DESVAR_L6</x:v>
      </x:c>
      <x:c r="C33" s="11" t="n">
        <x:v>0.5</x:v>
      </x:c>
      <x:c r="D33" s="2" t="str">
        <x:v>um</x:v>
      </x:c>
      <x:c r="E33" s="2" t="str">
        <x:v>Resolved numeric value</x:v>
      </x:c>
    </x:row>
    <x:row r="34" ht="22" customHeight="1">
      <x:c r="A34" s="7" t="str">
        <x:v>Design parameter</x:v>
      </x:c>
      <x:c r="B34" s="7" t="str">
        <x:v>DESVAR_W7</x:v>
      </x:c>
      <x:c r="C34" s="9" t="n">
        <x:v>5</x:v>
      </x:c>
      <x:c r="D34" s="7" t="str">
        <x:v>um</x:v>
      </x:c>
      <x:c r="E34" s="7" t="str">
        <x:v>Resolved numeric value</x:v>
      </x:c>
    </x:row>
    <x:row r="35" ht="22" customHeight="1">
      <x:c r="A35" s="2" t="str">
        <x:v>Design parameter</x:v>
      </x:c>
      <x:c r="B35" s="2" t="str">
        <x:v>DESVAR_L7</x:v>
      </x:c>
      <x:c r="C35" s="11" t="n">
        <x:v>0.5</x:v>
      </x:c>
      <x:c r="D35" s="2" t="str">
        <x:v>um</x:v>
      </x:c>
      <x:c r="E35" s="2" t="str">
        <x:v>Resolved numeric value</x:v>
      </x:c>
    </x:row>
    <x:row r="36" ht="22" customHeight="1">
      <x:c r="A36" s="7" t="str">
        <x:v>Design parameter</x:v>
      </x:c>
      <x:c r="B36" s="7" t="str">
        <x:v>DESVAR_W8</x:v>
      </x:c>
      <x:c r="C36" s="9" t="n">
        <x:v>5</x:v>
      </x:c>
      <x:c r="D36" s="7" t="str">
        <x:v>um</x:v>
      </x:c>
      <x:c r="E36" s="7" t="str">
        <x:v>Resolved numeric value</x:v>
      </x:c>
    </x:row>
    <x:row r="37" ht="22" customHeight="1">
      <x:c r="A37" s="2" t="str">
        <x:v>Design parameter</x:v>
      </x:c>
      <x:c r="B37" s="2" t="str">
        <x:v>DESVAR_L8</x:v>
      </x:c>
      <x:c r="C37" s="11" t="n">
        <x:v>0.5</x:v>
      </x:c>
      <x:c r="D37" s="2" t="str">
        <x:v>um</x:v>
      </x:c>
      <x:c r="E37" s="2" t="str">
        <x:v>Resolved numeric value</x:v>
      </x:c>
    </x:row>
    <x:row r="38" ht="22" customHeight="1">
      <x:c r="A38" s="7" t="str">
        <x:v>Design parameter</x:v>
      </x:c>
      <x:c r="B38" s="7" t="str">
        <x:v>DESVAR_W9</x:v>
      </x:c>
      <x:c r="C38" s="9" t="n">
        <x:v>5</x:v>
      </x:c>
      <x:c r="D38" s="7" t="str">
        <x:v>um</x:v>
      </x:c>
      <x:c r="E38" s="7" t="str">
        <x:v>Resolved numeric value</x:v>
      </x:c>
    </x:row>
    <x:row r="39" ht="22" customHeight="1">
      <x:c r="A39" s="2" t="str">
        <x:v>Design parameter</x:v>
      </x:c>
      <x:c r="B39" s="2" t="str">
        <x:v>DESVAR_L9</x:v>
      </x:c>
      <x:c r="C39" s="11" t="n">
        <x:v>0.5</x:v>
      </x:c>
      <x:c r="D39" s="2" t="str">
        <x:v>um</x:v>
      </x:c>
      <x:c r="E39" s="2" t="str">
        <x:v>Resolved numeric value</x:v>
      </x:c>
    </x:row>
    <x:row r="40" ht="22" customHeight="1">
      <x:c r="A40" s="7" t="str">
        <x:v>Design parameter</x:v>
      </x:c>
      <x:c r="B40" s="7" t="str">
        <x:v>DESVAR_M1</x:v>
      </x:c>
      <x:c r="C40" s="9" t="n">
        <x:v>2</x:v>
      </x:c>
      <x:c r="D40" s="7" t="str">
        <x:v>count</x:v>
      </x:c>
      <x:c r="E40" s="7" t="str">
        <x:v>Resolved numeric value</x:v>
      </x:c>
    </x:row>
    <x:row r="41" ht="22" customHeight="1">
      <x:c r="A41" s="2" t="str">
        <x:v>Design parameter</x:v>
      </x:c>
      <x:c r="B41" s="2" t="str">
        <x:v>DESVAR_M2</x:v>
      </x:c>
      <x:c r="C41" s="11" t="n">
        <x:v>1</x:v>
      </x:c>
      <x:c r="D41" s="2" t="str">
        <x:v>count</x:v>
      </x:c>
      <x:c r="E41" s="2" t="str">
        <x:v>Resolved numeric value</x:v>
      </x:c>
    </x:row>
    <x:row r="42" ht="22" customHeight="1">
      <x:c r="A42" s="7" t="str">
        <x:v>Design parameter</x:v>
      </x:c>
      <x:c r="B42" s="7" t="str">
        <x:v>DESVAR_M3</x:v>
      </x:c>
      <x:c r="C42" s="9" t="n">
        <x:v>1</x:v>
      </x:c>
      <x:c r="D42" s="7" t="str">
        <x:v>count</x:v>
      </x:c>
      <x:c r="E42" s="7" t="str">
        <x:v>Resolved numeric value</x:v>
      </x:c>
    </x:row>
    <x:row r="43" ht="22" customHeight="1">
      <x:c r="A43" s="2" t="str">
        <x:v>Design parameter</x:v>
      </x:c>
      <x:c r="B43" s="2" t="str">
        <x:v>DESVAR_M4</x:v>
      </x:c>
      <x:c r="C43" s="11" t="n">
        <x:v>1</x:v>
      </x:c>
      <x:c r="D43" s="2" t="str">
        <x:v>count</x:v>
      </x:c>
      <x:c r="E43" s="2" t="str">
        <x:v>Resolved numeric value</x:v>
      </x:c>
    </x:row>
    <x:row r="44" ht="22" customHeight="1">
      <x:c r="A44" s="7" t="str">
        <x:v>Design parameter</x:v>
      </x:c>
      <x:c r="B44" s="7" t="str">
        <x:v>DESVAR_M5</x:v>
      </x:c>
      <x:c r="C44" s="9" t="n">
        <x:v>2</x:v>
      </x:c>
      <x:c r="D44" s="7" t="str">
        <x:v>count</x:v>
      </x:c>
      <x:c r="E44" s="7" t="str">
        <x:v>Resolved numeric value</x:v>
      </x:c>
    </x:row>
    <x:row r="45" ht="22" customHeight="1">
      <x:c r="A45" s="2" t="str">
        <x:v>Design parameter</x:v>
      </x:c>
      <x:c r="B45" s="2" t="str">
        <x:v>DESVAR_M6</x:v>
      </x:c>
      <x:c r="C45" s="11" t="n">
        <x:v>1</x:v>
      </x:c>
      <x:c r="D45" s="2" t="str">
        <x:v>count</x:v>
      </x:c>
      <x:c r="E45" s="2" t="str">
        <x:v>Resolved numeric value</x:v>
      </x:c>
    </x:row>
    <x:row r="46" ht="22" customHeight="1">
      <x:c r="A46" s="7" t="str">
        <x:v>Design parameter</x:v>
      </x:c>
      <x:c r="B46" s="7" t="str">
        <x:v>IBIAS_A</x:v>
      </x:c>
      <x:c r="C46" s="9" t="n">
        <x:v>0.000005</x:v>
      </x:c>
      <x:c r="D46" s="7" t="str">
        <x:v>A</x:v>
      </x:c>
      <x:c r="E46" s="7" t="str">
        <x:v>Resolved numeric value</x:v>
      </x:c>
    </x:row>
    <x:row r="47" ht="22" customHeight="1">
      <x:c r="A47" s="2" t="str">
        <x:v>Definition</x:v>
      </x:c>
      <x:c r="B47" s="2" t="str">
        <x:v>VGS_V / VDS_V / VBS_V</x:v>
      </x:c>
      <x:c r="C47" s="2" t="str">
        <x:v>Terminal node differences</x:v>
      </x:c>
      <x:c r="D47" s="2" t="str">
        <x:v>V</x:v>
      </x:c>
      <x:c r="E47" s="2" t="str">
        <x:v>Signed; PMOS VGS/VDS normally negative</x:v>
      </x:c>
    </x:row>
    <x:row r="48" ht="22" customHeight="1">
      <x:c r="A48" s="7" t="str">
        <x:v>Definition</x:v>
      </x:c>
      <x:c r="B48" s="7" t="str">
        <x:v>Id_model_A / gm_S / gds_S</x:v>
      </x:c>
      <x:c r="C48" s="7" t="str">
        <x:v>Native ngspice BSIM values</x:v>
      </x:c>
      <x:c r="D48" s="7" t="str"/>
      <x:c r="E48" s="7" t="str">
        <x:v>Already include M; no extra multiplication</x:v>
      </x:c>
    </x:row>
    <x:row r="49" ht="22" customHeight="1">
      <x:c r="A49" s="2" t="str">
        <x:v>Definition</x:v>
      </x:c>
      <x:c r="B49" s="2" t="str">
        <x:v>Capacitances</x:v>
      </x:c>
      <x:c r="C49" s="2" t="str">
        <x:v>Native BSIM charge-derivative matrix</x:v>
      </x:c>
      <x:c r="D49" s="2" t="str">
        <x:v>F</x:v>
      </x:c>
      <x:c r="E49" s="2" t="str">
        <x:v>Preserve signed off-diagonal terms; not all entries are positive lumped capacitors</x:v>
      </x:c>
    </x:row>
    <x:row r="50" ht="22" customHeight="1">
      <x:c r="A50" s="7" t="str">
        <x:v>Definition</x:v>
      </x:c>
      <x:c r="B50" s="7" t="str">
        <x:v>Saturation_margin_V</x:v>
      </x:c>
      <x:c r="C50" s="7" t="str">
        <x:v>VDS_oriented minus abs(Vdsat_model)</x:v>
      </x:c>
      <x:c r="D50" s="7" t="str">
        <x:v>V</x:v>
      </x:c>
      <x:c r="E50" s="7" t="str">
        <x:v>Diagnostic only; not an unconditional operating-region classifier</x:v>
      </x:c>
    </x:row>
    <x:row r="51" ht="22" customHeight="1">
      <x:c r="A51" s="2" t="str">
        <x:v>Definition</x:v>
      </x:c>
      <x:c r="B51" s="2" t="str">
        <x:v>Vov_est_V</x:v>
      </x:c>
      <x:c r="C51" s="2" t="str">
        <x:v>Oriented VGS minus abs(Vth_model)</x:v>
      </x:c>
      <x:c r="D51" s="2" t="str">
        <x:v>V</x:v>
      </x:c>
      <x:c r="E51" s="2" t="str">
        <x:v>Diagnostic only; negative overdrive can occur in weak inversion</x:v>
      </x:c>
    </x:row>
    <x:row r="52" ht="22" customHeight="1">
      <x:c r="A52" s="7" t="str">
        <x:v>Definition</x:v>
      </x:c>
      <x:c r="B52" s="7" t="str">
        <x:v>Missing metric</x:v>
      </x:c>
      <x:c r="C52" s="7" t="str">
        <x:v>nan</x:v>
      </x:c>
      <x:c r="D52" s="7" t="str"/>
      <x:c r="E52" s="7" t="str">
        <x:v>No fabricated zero; valid negative metrics are retained</x:v>
      </x:c>
    </x:row>
    <x:row r="53" ht="22" customHeight="1">
      <x:c r="A53" s="2" t="str">
        <x:v>Definition</x:v>
      </x:c>
      <x:c r="B53" s="2" t="str">
        <x:v>Transient initial point</x:v>
      </x:c>
      <x:c r="C53" s="2" t="str">
        <x:v>Separate from the quiet DC snapshot</x:v>
      </x:c>
      <x:c r="D53" s="2" t="str"/>
      <x:c r="E53" s="2" t="str">
        <x:v>Pulse starts at SR_LOW; no transient transistor states are exported</x:v>
      </x:c>
    </x:row>
  </x:sheetData>
  <x:pageMargins left="0.7" right="0.7" top="0.75" bottom="0.75" header="0.3" footer="0.3"/>
</x:worksheet>
</file>