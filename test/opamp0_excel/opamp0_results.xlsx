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_Operating_Point" sheetId="1" state="visible" r:id="rId1"/>
    <sheet name="MOS_Capacitances" sheetId="2" state="visible" r:id="rId2"/>
    <sheet name="Metrics" sheetId="3" state="visible" r:id="rId3"/>
    <sheet name="Setup" sheetId="4" state="visible" r:id="rId4"/>
  </sheets>
  <definedNames>
    <definedName name="_xlnm._FilterDatabase" localSheetId="0" hidden="1">'DC_Operating_Point'!$A$1:$AC$18</definedName>
    <definedName name="_xlnm._FilterDatabase" localSheetId="1" hidden="1">'MOS_Capacitances'!$A$1:$Y$18</definedName>
    <definedName name="_xlnm._FilterDatabase" localSheetId="2" hidden="1">'Metrics'!$A$1:$C$10</definedName>
    <definedName name="_xlnm._FilterDatabase" localSheetId="3" hidden="1">'Setup'!$A$1:$E$46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E+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B4D"/>
      <sz val="10"/>
    </font>
  </fonts>
  <fills count="4">
    <fill>
      <patternFill/>
    </fill>
    <fill>
      <patternFill patternType="gray125"/>
    </fill>
    <fill>
      <patternFill patternType="solid">
        <fgColor rgb="00253B55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right" vertical="center"/>
    </xf>
    <xf numFmtId="1" fontId="2" fillId="3" borderId="0" applyAlignment="1" pivotButton="0" quotePrefix="0" xfId="0">
      <alignment horizontal="right" vertical="center"/>
    </xf>
    <xf numFmtId="164" fontId="2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6" customWidth="1" min="28" max="28"/>
    <col width="21" customWidth="1" min="29" max="29"/>
  </cols>
  <sheetData>
    <row r="1" ht="34" customHeight="1">
      <c r="A1" s="1" t="inlineStr">
        <is>
          <t>Device</t>
        </is>
      </c>
      <c r="B1" s="1" t="inlineStr">
        <is>
          <t>MOS_Type</t>
        </is>
      </c>
      <c r="C1" s="1" t="inlineStr">
        <is>
          <t>Model</t>
        </is>
      </c>
      <c r="D1" s="1" t="inlineStr">
        <is>
          <t>D_Node</t>
        </is>
      </c>
      <c r="E1" s="1" t="inlineStr">
        <is>
          <t>G_Node</t>
        </is>
      </c>
      <c r="F1" s="1" t="inlineStr">
        <is>
          <t>S_Node</t>
        </is>
      </c>
      <c r="G1" s="1" t="inlineStr">
        <is>
          <t>B_Node</t>
        </is>
      </c>
      <c r="H1" s="1" t="inlineStr">
        <is>
          <t>W_um</t>
        </is>
      </c>
      <c r="I1" s="1" t="inlineStr">
        <is>
          <t>L_um</t>
        </is>
      </c>
      <c r="J1" s="1" t="inlineStr">
        <is>
          <t>M</t>
        </is>
      </c>
      <c r="K1" s="1" t="inlineStr">
        <is>
          <t>VD_V</t>
        </is>
      </c>
      <c r="L1" s="1" t="inlineStr">
        <is>
          <t>VG_V</t>
        </is>
      </c>
      <c r="M1" s="1" t="inlineStr">
        <is>
          <t>VS_V</t>
        </is>
      </c>
      <c r="N1" s="1" t="inlineStr">
        <is>
          <t>VB_V</t>
        </is>
      </c>
      <c r="O1" s="1" t="inlineStr">
        <is>
          <t>VGS_V</t>
        </is>
      </c>
      <c r="P1" s="1" t="inlineStr">
        <is>
          <t>VDS_V</t>
        </is>
      </c>
      <c r="Q1" s="1" t="inlineStr">
        <is>
          <t>VBS_V</t>
        </is>
      </c>
      <c r="R1" s="1" t="inlineStr">
        <is>
          <t>Id_model_A</t>
        </is>
      </c>
      <c r="S1" s="1" t="inlineStr">
        <is>
          <t>gm_S</t>
        </is>
      </c>
      <c r="T1" s="1" t="inlineStr">
        <is>
          <t>gds_S</t>
        </is>
      </c>
      <c r="U1" s="1" t="inlineStr">
        <is>
          <t>gmbs_S</t>
        </is>
      </c>
      <c r="V1" s="1" t="inlineStr">
        <is>
          <t>Vth_model_V</t>
        </is>
      </c>
      <c r="W1" s="1" t="inlineStr">
        <is>
          <t>Vdsat_model_V</t>
        </is>
      </c>
      <c r="X1" s="1" t="inlineStr">
        <is>
          <t>gm_over_Id_per_V</t>
        </is>
      </c>
      <c r="Y1" s="1" t="inlineStr">
        <is>
          <t>gm_over_gds</t>
        </is>
      </c>
      <c r="Z1" s="1" t="inlineStr">
        <is>
          <t>ro_Ohm</t>
        </is>
      </c>
      <c r="AA1" s="1" t="inlineStr">
        <is>
          <t>VDS_oriented_V</t>
        </is>
      </c>
      <c r="AB1" s="1" t="inlineStr">
        <is>
          <t>Vov_est_V</t>
        </is>
      </c>
      <c r="AC1" s="1" t="inlineStr">
        <is>
          <t>Saturation_margin_V</t>
        </is>
      </c>
    </row>
    <row r="2">
      <c r="A2" s="2" t="inlineStr">
        <is>
          <t>XPM9</t>
        </is>
      </c>
      <c r="B2" s="2" t="inlineStr">
        <is>
          <t>PMOS</t>
        </is>
      </c>
      <c r="C2" s="2" t="inlineStr">
        <is>
          <t>sky130_fd_pr__pfet_01v8_lvt</t>
        </is>
      </c>
      <c r="D2" s="2" t="inlineStr">
        <is>
          <t>VB2</t>
        </is>
      </c>
      <c r="E2" s="2" t="inlineStr">
        <is>
          <t>NET1</t>
        </is>
      </c>
      <c r="F2" s="2" t="inlineStr">
        <is>
          <t>VDD</t>
        </is>
      </c>
      <c r="G2" s="2" t="inlineStr">
        <is>
          <t>VDD</t>
        </is>
      </c>
      <c r="H2" s="3" t="n">
        <v>5</v>
      </c>
      <c r="I2" s="3" t="n">
        <v>0.5</v>
      </c>
      <c r="J2" s="4" t="n">
        <v>1</v>
      </c>
      <c r="K2" s="5" t="n">
        <v>0.6140385819969639</v>
      </c>
      <c r="L2" s="5" t="n">
        <v>1.281141449375765</v>
      </c>
      <c r="M2" s="5" t="n">
        <v>1.8</v>
      </c>
      <c r="N2" s="5" t="n">
        <v>1.8</v>
      </c>
      <c r="O2" s="5" t="n">
        <v>-0.5188585506242351</v>
      </c>
      <c r="P2" s="5" t="n">
        <v>-1.185961418003036</v>
      </c>
      <c r="Q2" s="5" t="n">
        <v>0</v>
      </c>
      <c r="R2" s="5" t="n">
        <v>6.669527664571134e-06</v>
      </c>
      <c r="S2" s="5" t="n">
        <v>6.833299081933723e-05</v>
      </c>
      <c r="T2" s="5" t="n">
        <v>2.451591700069501e-06</v>
      </c>
      <c r="U2" s="5" t="n">
        <v>1.459794156295726e-05</v>
      </c>
      <c r="V2" s="5" t="n">
        <v>0.4084018535938611</v>
      </c>
      <c r="W2" s="5" t="n">
        <v>0.1341598970109467</v>
      </c>
      <c r="X2" s="5">
        <f>IF(ABS(R2)&gt;0,ABS(S2)/ABS(R2),"nan")</f>
        <v/>
      </c>
      <c r="Y2" s="5">
        <f>IF(ABS(T2)&gt;0,ABS(S2)/ABS(T2),"nan")</f>
        <v/>
      </c>
      <c r="Z2" s="5">
        <f>IF(ABS(T2)&gt;0,1/ABS(T2),"nan")</f>
        <v/>
      </c>
      <c r="AA2" s="5">
        <f>IF(B2="PMOS",-P2,P2)</f>
        <v/>
      </c>
      <c r="AB2" s="5">
        <f>IF(B2="PMOS",-O2,O2)-ABS(V2)</f>
        <v/>
      </c>
      <c r="AC2" s="5">
        <f>AA2-ABS(W2)</f>
        <v/>
      </c>
    </row>
    <row r="3">
      <c r="A3" s="6" t="inlineStr">
        <is>
          <t>XPM8</t>
        </is>
      </c>
      <c r="B3" s="6" t="inlineStr">
        <is>
          <t>PMOS</t>
        </is>
      </c>
      <c r="C3" s="6" t="inlineStr">
        <is>
          <t>sky130_fd_pr__pfet_01v8_lvt</t>
        </is>
      </c>
      <c r="D3" s="6" t="inlineStr">
        <is>
          <t>VB3</t>
        </is>
      </c>
      <c r="E3" s="6" t="inlineStr">
        <is>
          <t>NET1</t>
        </is>
      </c>
      <c r="F3" s="6" t="inlineStr">
        <is>
          <t>VDD</t>
        </is>
      </c>
      <c r="G3" s="6" t="inlineStr">
        <is>
          <t>VDD</t>
        </is>
      </c>
      <c r="H3" s="7" t="n">
        <v>5</v>
      </c>
      <c r="I3" s="7" t="n">
        <v>0.5</v>
      </c>
      <c r="J3" s="8" t="n">
        <v>1</v>
      </c>
      <c r="K3" s="9" t="n">
        <v>0.5167184450746137</v>
      </c>
      <c r="L3" s="9" t="n">
        <v>1.281141449375765</v>
      </c>
      <c r="M3" s="9" t="n">
        <v>1.8</v>
      </c>
      <c r="N3" s="9" t="n">
        <v>1.8</v>
      </c>
      <c r="O3" s="9" t="n">
        <v>-0.5188585506242351</v>
      </c>
      <c r="P3" s="9" t="n">
        <v>-1.283281554925386</v>
      </c>
      <c r="Q3" s="9" t="n">
        <v>0</v>
      </c>
      <c r="R3" s="9" t="n">
        <v>6.907943745562666e-06</v>
      </c>
      <c r="S3" s="9" t="n">
        <v>7.012402997824049e-05</v>
      </c>
      <c r="T3" s="9" t="n">
        <v>2.448229735285704e-06</v>
      </c>
      <c r="U3" s="9" t="n">
        <v>1.493792374649045e-05</v>
      </c>
      <c r="V3" s="9" t="n">
        <v>0.40840185039809</v>
      </c>
      <c r="W3" s="9" t="n">
        <v>0.1341598990897945</v>
      </c>
      <c r="X3" s="9">
        <f>IF(ABS(R3)&gt;0,ABS(S3)/ABS(R3),"nan")</f>
        <v/>
      </c>
      <c r="Y3" s="9">
        <f>IF(ABS(T3)&gt;0,ABS(S3)/ABS(T3),"nan")</f>
        <v/>
      </c>
      <c r="Z3" s="9">
        <f>IF(ABS(T3)&gt;0,1/ABS(T3),"nan")</f>
        <v/>
      </c>
      <c r="AA3" s="9">
        <f>IF(B3="PMOS",-P3,P3)</f>
        <v/>
      </c>
      <c r="AB3" s="9">
        <f>IF(B3="PMOS",-O3,O3)-ABS(V3)</f>
        <v/>
      </c>
      <c r="AC3" s="9">
        <f>AA3-ABS(W3)</f>
        <v/>
      </c>
    </row>
    <row r="4">
      <c r="A4" s="2" t="inlineStr">
        <is>
          <t>XPM7</t>
        </is>
      </c>
      <c r="B4" s="2" t="inlineStr">
        <is>
          <t>PMOS</t>
        </is>
      </c>
      <c r="C4" s="2" t="inlineStr">
        <is>
          <t>sky130_fd_pr__pfet_01v8_lvt</t>
        </is>
      </c>
      <c r="D4" s="2" t="inlineStr">
        <is>
          <t>NET1</t>
        </is>
      </c>
      <c r="E4" s="2" t="inlineStr">
        <is>
          <t>NET1</t>
        </is>
      </c>
      <c r="F4" s="2" t="inlineStr">
        <is>
          <t>VDD</t>
        </is>
      </c>
      <c r="G4" s="2" t="inlineStr">
        <is>
          <t>VDD</t>
        </is>
      </c>
      <c r="H4" s="3" t="n">
        <v>5</v>
      </c>
      <c r="I4" s="3" t="n">
        <v>0.5</v>
      </c>
      <c r="J4" s="4" t="n">
        <v>1</v>
      </c>
      <c r="K4" s="5" t="n">
        <v>1.281141449375765</v>
      </c>
      <c r="L4" s="5" t="n">
        <v>1.281141449375765</v>
      </c>
      <c r="M4" s="5" t="n">
        <v>1.8</v>
      </c>
      <c r="N4" s="5" t="n">
        <v>1.8</v>
      </c>
      <c r="O4" s="5" t="n">
        <v>-0.5188585506242351</v>
      </c>
      <c r="P4" s="5" t="n">
        <v>-0.5188585506242351</v>
      </c>
      <c r="Q4" s="5" t="n">
        <v>0</v>
      </c>
      <c r="R4" s="5" t="n">
        <v>4.999999471141155e-06</v>
      </c>
      <c r="S4" s="5" t="n">
        <v>5.551152407561445e-05</v>
      </c>
      <c r="T4" s="5" t="n">
        <v>2.666280056709706e-06</v>
      </c>
      <c r="U4" s="5" t="n">
        <v>1.214326463855756e-05</v>
      </c>
      <c r="V4" s="5" t="n">
        <v>0.408401875499326</v>
      </c>
      <c r="W4" s="5" t="n">
        <v>0.134159882761389</v>
      </c>
      <c r="X4" s="5">
        <f>IF(ABS(R4)&gt;0,ABS(S4)/ABS(R4),"nan")</f>
        <v/>
      </c>
      <c r="Y4" s="5">
        <f>IF(ABS(T4)&gt;0,ABS(S4)/ABS(T4),"nan")</f>
        <v/>
      </c>
      <c r="Z4" s="5">
        <f>IF(ABS(T4)&gt;0,1/ABS(T4),"nan")</f>
        <v/>
      </c>
      <c r="AA4" s="5">
        <f>IF(B4="PMOS",-P4,P4)</f>
        <v/>
      </c>
      <c r="AB4" s="5">
        <f>IF(B4="PMOS",-O4,O4)-ABS(V4)</f>
        <v/>
      </c>
      <c r="AC4" s="5">
        <f>AA4-ABS(W4)</f>
        <v/>
      </c>
    </row>
    <row r="5">
      <c r="A5" s="6" t="inlineStr">
        <is>
          <t>XPM6</t>
        </is>
      </c>
      <c r="B5" s="6" t="inlineStr">
        <is>
          <t>PMOS</t>
        </is>
      </c>
      <c r="C5" s="6" t="inlineStr">
        <is>
          <t>sky130_fd_pr__pfet_01v8_lvt</t>
        </is>
      </c>
      <c r="D5" s="6" t="inlineStr">
        <is>
          <t>NET9</t>
        </is>
      </c>
      <c r="E5" s="6" t="inlineStr">
        <is>
          <t>NET1</t>
        </is>
      </c>
      <c r="F5" s="6" t="inlineStr">
        <is>
          <t>VDD</t>
        </is>
      </c>
      <c r="G5" s="6" t="inlineStr">
        <is>
          <t>VDD</t>
        </is>
      </c>
      <c r="H5" s="7" t="n">
        <v>5</v>
      </c>
      <c r="I5" s="7" t="n">
        <v>0.5</v>
      </c>
      <c r="J5" s="8" t="n">
        <v>2</v>
      </c>
      <c r="K5" s="9" t="n">
        <v>1.173081225973649</v>
      </c>
      <c r="L5" s="9" t="n">
        <v>1.281141449375765</v>
      </c>
      <c r="M5" s="9" t="n">
        <v>1.8</v>
      </c>
      <c r="N5" s="9" t="n">
        <v>1.8</v>
      </c>
      <c r="O5" s="9" t="n">
        <v>-0.5188585506242351</v>
      </c>
      <c r="P5" s="9" t="n">
        <v>-0.6269187740263511</v>
      </c>
      <c r="Q5" s="9" t="n">
        <v>0</v>
      </c>
      <c r="R5" s="9" t="n">
        <v>1.056319801113407e-05</v>
      </c>
      <c r="S5" s="9" t="n">
        <v>0.0001155299097530118</v>
      </c>
      <c r="T5" s="9" t="n">
        <v>5.119599371774405e-06</v>
      </c>
      <c r="U5" s="9" t="n">
        <v>2.51621275236482e-05</v>
      </c>
      <c r="V5" s="9" t="n">
        <v>0.408401871951006</v>
      </c>
      <c r="W5" s="9" t="n">
        <v>0.134159885069582</v>
      </c>
      <c r="X5" s="9">
        <f>IF(ABS(R5)&gt;0,ABS(S5)/ABS(R5),"nan")</f>
        <v/>
      </c>
      <c r="Y5" s="9">
        <f>IF(ABS(T5)&gt;0,ABS(S5)/ABS(T5),"nan")</f>
        <v/>
      </c>
      <c r="Z5" s="9">
        <f>IF(ABS(T5)&gt;0,1/ABS(T5),"nan")</f>
        <v/>
      </c>
      <c r="AA5" s="9">
        <f>IF(B5="PMOS",-P5,P5)</f>
        <v/>
      </c>
      <c r="AB5" s="9">
        <f>IF(B5="PMOS",-O5,O5)-ABS(V5)</f>
        <v/>
      </c>
      <c r="AC5" s="9">
        <f>AA5-ABS(W5)</f>
        <v/>
      </c>
    </row>
    <row r="6">
      <c r="A6" s="2" t="inlineStr">
        <is>
          <t>XPM5</t>
        </is>
      </c>
      <c r="B6" s="2" t="inlineStr">
        <is>
          <t>PMOS</t>
        </is>
      </c>
      <c r="C6" s="2" t="inlineStr">
        <is>
          <t>sky130_fd_pr__pfet_01v8_lvt</t>
        </is>
      </c>
      <c r="D6" s="2" t="inlineStr">
        <is>
          <t>NET27</t>
        </is>
      </c>
      <c r="E6" s="2" t="inlineStr">
        <is>
          <t>VINN</t>
        </is>
      </c>
      <c r="F6" s="2" t="inlineStr">
        <is>
          <t>NET9</t>
        </is>
      </c>
      <c r="G6" s="2" t="inlineStr">
        <is>
          <t>NET9</t>
        </is>
      </c>
      <c r="H6" s="3" t="n">
        <v>10</v>
      </c>
      <c r="I6" s="3" t="n">
        <v>0.5</v>
      </c>
      <c r="J6" s="4" t="n">
        <v>1</v>
      </c>
      <c r="K6" s="5" t="n">
        <v>0.1155747565637116</v>
      </c>
      <c r="L6" s="5" t="n">
        <v>0.7217347118789599</v>
      </c>
      <c r="M6" s="5" t="n">
        <v>1.173081225973649</v>
      </c>
      <c r="N6" s="5" t="n">
        <v>1.173081225973649</v>
      </c>
      <c r="O6" s="5" t="n">
        <v>-0.4513465140946891</v>
      </c>
      <c r="P6" s="5" t="n">
        <v>-1.057506469409937</v>
      </c>
      <c r="Q6" s="5" t="n">
        <v>0</v>
      </c>
      <c r="R6" s="5" t="n">
        <v>5.224904676963315e-06</v>
      </c>
      <c r="S6" s="5" t="n">
        <v>6.898807505213971e-05</v>
      </c>
      <c r="T6" s="5" t="n">
        <v>2.639573494381872e-06</v>
      </c>
      <c r="U6" s="5" t="n">
        <v>1.582262285388816e-05</v>
      </c>
      <c r="V6" s="5" t="n">
        <v>0.4270733781365719</v>
      </c>
      <c r="W6" s="5" t="n">
        <v>0.09095880590424113</v>
      </c>
      <c r="X6" s="5">
        <f>IF(ABS(R6)&gt;0,ABS(S6)/ABS(R6),"nan")</f>
        <v/>
      </c>
      <c r="Y6" s="5">
        <f>IF(ABS(T6)&gt;0,ABS(S6)/ABS(T6),"nan")</f>
        <v/>
      </c>
      <c r="Z6" s="5">
        <f>IF(ABS(T6)&gt;0,1/ABS(T6),"nan")</f>
        <v/>
      </c>
      <c r="AA6" s="5">
        <f>IF(B6="PMOS",-P6,P6)</f>
        <v/>
      </c>
      <c r="AB6" s="5">
        <f>IF(B6="PMOS",-O6,O6)-ABS(V6)</f>
        <v/>
      </c>
      <c r="AC6" s="5">
        <f>AA6-ABS(W6)</f>
        <v/>
      </c>
    </row>
    <row r="7">
      <c r="A7" s="6" t="inlineStr">
        <is>
          <t>XPM4</t>
        </is>
      </c>
      <c r="B7" s="6" t="inlineStr">
        <is>
          <t>PMOS</t>
        </is>
      </c>
      <c r="C7" s="6" t="inlineStr">
        <is>
          <t>sky130_fd_pr__pfet_01v8_lvt</t>
        </is>
      </c>
      <c r="D7" s="6" t="inlineStr">
        <is>
          <t>NET24</t>
        </is>
      </c>
      <c r="E7" s="6" t="inlineStr">
        <is>
          <t>VINP</t>
        </is>
      </c>
      <c r="F7" s="6" t="inlineStr">
        <is>
          <t>NET9</t>
        </is>
      </c>
      <c r="G7" s="6" t="inlineStr">
        <is>
          <t>NET9</t>
        </is>
      </c>
      <c r="H7" s="7" t="n">
        <v>10</v>
      </c>
      <c r="I7" s="7" t="n">
        <v>0.5</v>
      </c>
      <c r="J7" s="8" t="n">
        <v>1</v>
      </c>
      <c r="K7" s="9" t="n">
        <v>0.1183243645281022</v>
      </c>
      <c r="L7" s="9" t="n">
        <v>0.72</v>
      </c>
      <c r="M7" s="9" t="n">
        <v>1.173081225973649</v>
      </c>
      <c r="N7" s="9" t="n">
        <v>1.173081225973649</v>
      </c>
      <c r="O7" s="9" t="n">
        <v>-0.453081225973649</v>
      </c>
      <c r="P7" s="9" t="n">
        <v>-1.054756861445547</v>
      </c>
      <c r="Q7" s="9" t="n">
        <v>0</v>
      </c>
      <c r="R7" s="9" t="n">
        <v>5.338292458414974e-06</v>
      </c>
      <c r="S7" s="9" t="n">
        <v>7.018765040224801e-05</v>
      </c>
      <c r="T7" s="9" t="n">
        <v>2.688714976217595e-06</v>
      </c>
      <c r="U7" s="9" t="n">
        <v>1.608175716401592e-05</v>
      </c>
      <c r="V7" s="9" t="n">
        <v>0.4270733782268596</v>
      </c>
      <c r="W7" s="9" t="n">
        <v>0.09181464151004171</v>
      </c>
      <c r="X7" s="9">
        <f>IF(ABS(R7)&gt;0,ABS(S7)/ABS(R7),"nan")</f>
        <v/>
      </c>
      <c r="Y7" s="9">
        <f>IF(ABS(T7)&gt;0,ABS(S7)/ABS(T7),"nan")</f>
        <v/>
      </c>
      <c r="Z7" s="9">
        <f>IF(ABS(T7)&gt;0,1/ABS(T7),"nan")</f>
        <v/>
      </c>
      <c r="AA7" s="9">
        <f>IF(B7="PMOS",-P7,P7)</f>
        <v/>
      </c>
      <c r="AB7" s="9">
        <f>IF(B7="PMOS",-O7,O7)-ABS(V7)</f>
        <v/>
      </c>
      <c r="AC7" s="9">
        <f>AA7-ABS(W7)</f>
        <v/>
      </c>
    </row>
    <row r="8">
      <c r="A8" s="2" t="inlineStr">
        <is>
          <t>XPM3</t>
        </is>
      </c>
      <c r="B8" s="2" t="inlineStr">
        <is>
          <t>PMOS</t>
        </is>
      </c>
      <c r="C8" s="2" t="inlineStr">
        <is>
          <t>sky130_fd_pr__pfet_01v8_lvt</t>
        </is>
      </c>
      <c r="D8" s="2" t="inlineStr">
        <is>
          <t>NET35</t>
        </is>
      </c>
      <c r="E8" s="2" t="inlineStr">
        <is>
          <t>NET18</t>
        </is>
      </c>
      <c r="F8" s="2" t="inlineStr">
        <is>
          <t>VDD</t>
        </is>
      </c>
      <c r="G8" s="2" t="inlineStr">
        <is>
          <t>VDD</t>
        </is>
      </c>
      <c r="H8" s="3" t="n">
        <v>3</v>
      </c>
      <c r="I8" s="3" t="n">
        <v>0.35</v>
      </c>
      <c r="J8" s="4" t="n">
        <v>1</v>
      </c>
      <c r="K8" s="5" t="n">
        <v>1.335384039021073</v>
      </c>
      <c r="L8" s="5" t="n">
        <v>1.349367702710705</v>
      </c>
      <c r="M8" s="5" t="n">
        <v>1.8</v>
      </c>
      <c r="N8" s="5" t="n">
        <v>1.8</v>
      </c>
      <c r="O8" s="5" t="n">
        <v>-0.4506322972892951</v>
      </c>
      <c r="P8" s="5" t="n">
        <v>-0.4646159609789271</v>
      </c>
      <c r="Q8" s="5" t="n">
        <v>0</v>
      </c>
      <c r="R8" s="5" t="n">
        <v>6.204286314558051e-06</v>
      </c>
      <c r="S8" s="5" t="n">
        <v>5.567632456952647e-05</v>
      </c>
      <c r="T8" s="5" t="n">
        <v>5.328426812842991e-06</v>
      </c>
      <c r="U8" s="5" t="n">
        <v>9.895108632056913e-06</v>
      </c>
      <c r="V8" s="5" t="n">
        <v>0.2936620675436291</v>
      </c>
      <c r="W8" s="5" t="n">
        <v>0.1621698423111518</v>
      </c>
      <c r="X8" s="5">
        <f>IF(ABS(R8)&gt;0,ABS(S8)/ABS(R8),"nan")</f>
        <v/>
      </c>
      <c r="Y8" s="5">
        <f>IF(ABS(T8)&gt;0,ABS(S8)/ABS(T8),"nan")</f>
        <v/>
      </c>
      <c r="Z8" s="5">
        <f>IF(ABS(T8)&gt;0,1/ABS(T8),"nan")</f>
        <v/>
      </c>
      <c r="AA8" s="5">
        <f>IF(B8="PMOS",-P8,P8)</f>
        <v/>
      </c>
      <c r="AB8" s="5">
        <f>IF(B8="PMOS",-O8,O8)-ABS(V8)</f>
        <v/>
      </c>
      <c r="AC8" s="5">
        <f>AA8-ABS(W8)</f>
        <v/>
      </c>
    </row>
    <row r="9">
      <c r="A9" s="6" t="inlineStr">
        <is>
          <t>XPM2</t>
        </is>
      </c>
      <c r="B9" s="6" t="inlineStr">
        <is>
          <t>PMOS</t>
        </is>
      </c>
      <c r="C9" s="6" t="inlineStr">
        <is>
          <t>sky130_fd_pr__pfet_01v8_lvt</t>
        </is>
      </c>
      <c r="D9" s="6" t="inlineStr">
        <is>
          <t>NET18</t>
        </is>
      </c>
      <c r="E9" s="6" t="inlineStr">
        <is>
          <t>NET18</t>
        </is>
      </c>
      <c r="F9" s="6" t="inlineStr">
        <is>
          <t>VDD</t>
        </is>
      </c>
      <c r="G9" s="6" t="inlineStr">
        <is>
          <t>VDD</t>
        </is>
      </c>
      <c r="H9" s="7" t="n">
        <v>3</v>
      </c>
      <c r="I9" s="7" t="n">
        <v>0.35</v>
      </c>
      <c r="J9" s="8" t="n">
        <v>1</v>
      </c>
      <c r="K9" s="9" t="n">
        <v>1.349367702710705</v>
      </c>
      <c r="L9" s="9" t="n">
        <v>1.349367702710705</v>
      </c>
      <c r="M9" s="9" t="n">
        <v>1.8</v>
      </c>
      <c r="N9" s="9" t="n">
        <v>1.8</v>
      </c>
      <c r="O9" s="9" t="n">
        <v>-0.4506322972892951</v>
      </c>
      <c r="P9" s="9" t="n">
        <v>-0.4506322972892951</v>
      </c>
      <c r="Q9" s="9" t="n">
        <v>0</v>
      </c>
      <c r="R9" s="9" t="n">
        <v>6.129280118808608e-06</v>
      </c>
      <c r="S9" s="9" t="n">
        <v>5.513175997452526e-05</v>
      </c>
      <c r="T9" s="9" t="n">
        <v>5.40062311685759e-06</v>
      </c>
      <c r="U9" s="9" t="n">
        <v>9.809430808525115e-06</v>
      </c>
      <c r="V9" s="9" t="n">
        <v>0.2936621200751716</v>
      </c>
      <c r="W9" s="9" t="n">
        <v>0.1621698066163819</v>
      </c>
      <c r="X9" s="9">
        <f>IF(ABS(R9)&gt;0,ABS(S9)/ABS(R9),"nan")</f>
        <v/>
      </c>
      <c r="Y9" s="9">
        <f>IF(ABS(T9)&gt;0,ABS(S9)/ABS(T9),"nan")</f>
        <v/>
      </c>
      <c r="Z9" s="9">
        <f>IF(ABS(T9)&gt;0,1/ABS(T9),"nan")</f>
        <v/>
      </c>
      <c r="AA9" s="9">
        <f>IF(B9="PMOS",-P9,P9)</f>
        <v/>
      </c>
      <c r="AB9" s="9">
        <f>IF(B9="PMOS",-O9,O9)-ABS(V9)</f>
        <v/>
      </c>
      <c r="AC9" s="9">
        <f>AA9-ABS(W9)</f>
        <v/>
      </c>
    </row>
    <row r="10">
      <c r="A10" s="2" t="inlineStr">
        <is>
          <t>XPM1</t>
        </is>
      </c>
      <c r="B10" s="2" t="inlineStr">
        <is>
          <t>PMOS</t>
        </is>
      </c>
      <c r="C10" s="2" t="inlineStr">
        <is>
          <t>sky130_fd_pr__pfet_01v8_lvt</t>
        </is>
      </c>
      <c r="D10" s="2" t="inlineStr">
        <is>
          <t>NET34</t>
        </is>
      </c>
      <c r="E10" s="2" t="inlineStr">
        <is>
          <t>NET34</t>
        </is>
      </c>
      <c r="F10" s="2" t="inlineStr">
        <is>
          <t>NET18</t>
        </is>
      </c>
      <c r="G10" s="2" t="inlineStr">
        <is>
          <t>NET18</t>
        </is>
      </c>
      <c r="H10" s="3" t="n">
        <v>4</v>
      </c>
      <c r="I10" s="3" t="n">
        <v>0.35</v>
      </c>
      <c r="J10" s="4" t="n">
        <v>1</v>
      </c>
      <c r="K10" s="5" t="n">
        <v>0.9157838907348247</v>
      </c>
      <c r="L10" s="5" t="n">
        <v>0.9157838907348247</v>
      </c>
      <c r="M10" s="5" t="n">
        <v>1.349367702710705</v>
      </c>
      <c r="N10" s="5" t="n">
        <v>1.349367702710705</v>
      </c>
      <c r="O10" s="5" t="n">
        <v>-0.4335838119758803</v>
      </c>
      <c r="P10" s="5" t="n">
        <v>-0.4335838119758803</v>
      </c>
      <c r="Q10" s="5" t="n">
        <v>0</v>
      </c>
      <c r="R10" s="5" t="n">
        <v>6.129280135840847e-06</v>
      </c>
      <c r="S10" s="5" t="n">
        <v>6.297335150260314e-05</v>
      </c>
      <c r="T10" s="5" t="n">
        <v>5.915094063146005e-06</v>
      </c>
      <c r="U10" s="5" t="n">
        <v>1.183573970628971e-05</v>
      </c>
      <c r="V10" s="5" t="n">
        <v>0.3201940636496562</v>
      </c>
      <c r="W10" s="5" t="n">
        <v>0.1405782650634892</v>
      </c>
      <c r="X10" s="5">
        <f>IF(ABS(R10)&gt;0,ABS(S10)/ABS(R10),"nan")</f>
        <v/>
      </c>
      <c r="Y10" s="5">
        <f>IF(ABS(T10)&gt;0,ABS(S10)/ABS(T10),"nan")</f>
        <v/>
      </c>
      <c r="Z10" s="5">
        <f>IF(ABS(T10)&gt;0,1/ABS(T10),"nan")</f>
        <v/>
      </c>
      <c r="AA10" s="5">
        <f>IF(B10="PMOS",-P10,P10)</f>
        <v/>
      </c>
      <c r="AB10" s="5">
        <f>IF(B10="PMOS",-O10,O10)-ABS(V10)</f>
        <v/>
      </c>
      <c r="AC10" s="5">
        <f>AA10-ABS(W10)</f>
        <v/>
      </c>
    </row>
    <row r="11">
      <c r="A11" s="6" t="inlineStr">
        <is>
          <t>XPM0</t>
        </is>
      </c>
      <c r="B11" s="6" t="inlineStr">
        <is>
          <t>PMOS</t>
        </is>
      </c>
      <c r="C11" s="6" t="inlineStr">
        <is>
          <t>sky130_fd_pr__pfet_01v8_lvt</t>
        </is>
      </c>
      <c r="D11" s="6" t="inlineStr">
        <is>
          <t>VOUT</t>
        </is>
      </c>
      <c r="E11" s="6" t="inlineStr">
        <is>
          <t>NET34</t>
        </is>
      </c>
      <c r="F11" s="6" t="inlineStr">
        <is>
          <t>NET35</t>
        </is>
      </c>
      <c r="G11" s="6" t="inlineStr">
        <is>
          <t>NET35</t>
        </is>
      </c>
      <c r="H11" s="7" t="n">
        <v>4</v>
      </c>
      <c r="I11" s="7" t="n">
        <v>0.35</v>
      </c>
      <c r="J11" s="8" t="n">
        <v>1</v>
      </c>
      <c r="K11" s="9" t="n">
        <v>0.7217347118789599</v>
      </c>
      <c r="L11" s="9" t="n">
        <v>0.9157838907348247</v>
      </c>
      <c r="M11" s="9" t="n">
        <v>1.335384039021073</v>
      </c>
      <c r="N11" s="9" t="n">
        <v>1.335384039021073</v>
      </c>
      <c r="O11" s="9" t="n">
        <v>-0.4196001482862483</v>
      </c>
      <c r="P11" s="9" t="n">
        <v>-0.6136493271421131</v>
      </c>
      <c r="Q11" s="9" t="n">
        <v>0</v>
      </c>
      <c r="R11" s="9" t="n">
        <v>6.204286165495092e-06</v>
      </c>
      <c r="S11" s="9" t="n">
        <v>6.418628925976292e-05</v>
      </c>
      <c r="T11" s="9" t="n">
        <v>4.936144671982619e-06</v>
      </c>
      <c r="U11" s="9" t="n">
        <v>1.205922356927331e-05</v>
      </c>
      <c r="V11" s="9" t="n">
        <v>0.3201933872089776</v>
      </c>
      <c r="W11" s="9" t="n">
        <v>0.131528196700819</v>
      </c>
      <c r="X11" s="9">
        <f>IF(ABS(R11)&gt;0,ABS(S11)/ABS(R11),"nan")</f>
        <v/>
      </c>
      <c r="Y11" s="9">
        <f>IF(ABS(T11)&gt;0,ABS(S11)/ABS(T11),"nan")</f>
        <v/>
      </c>
      <c r="Z11" s="9">
        <f>IF(ABS(T11)&gt;0,1/ABS(T11),"nan")</f>
        <v/>
      </c>
      <c r="AA11" s="9">
        <f>IF(B11="PMOS",-P11,P11)</f>
        <v/>
      </c>
      <c r="AB11" s="9">
        <f>IF(B11="PMOS",-O11,O11)-ABS(V11)</f>
        <v/>
      </c>
      <c r="AC11" s="9">
        <f>AA11-ABS(W11)</f>
        <v/>
      </c>
    </row>
    <row r="12">
      <c r="A12" s="2" t="inlineStr">
        <is>
          <t>XNM6</t>
        </is>
      </c>
      <c r="B12" s="2" t="inlineStr">
        <is>
          <t>NMOS</t>
        </is>
      </c>
      <c r="C12" s="2" t="inlineStr">
        <is>
          <t>sky130_fd_pr__nfet_01v8_lvt</t>
        </is>
      </c>
      <c r="D12" s="2" t="inlineStr">
        <is>
          <t>NET2</t>
        </is>
      </c>
      <c r="E12" s="2" t="inlineStr">
        <is>
          <t>VB2</t>
        </is>
      </c>
      <c r="F12" s="2" t="inlineStr">
        <is>
          <t>VSS</t>
        </is>
      </c>
      <c r="G12" s="2" t="inlineStr">
        <is>
          <t>VSS</t>
        </is>
      </c>
      <c r="H12" s="3" t="n">
        <v>5</v>
      </c>
      <c r="I12" s="3" t="n">
        <v>1</v>
      </c>
      <c r="J12" s="4" t="n">
        <v>1</v>
      </c>
      <c r="K12" s="5" t="n">
        <v>0.04660815059532664</v>
      </c>
      <c r="L12" s="5" t="n">
        <v>0.6140385819969639</v>
      </c>
      <c r="M12" s="5" t="n">
        <v>0</v>
      </c>
      <c r="N12" s="5" t="n">
        <v>0</v>
      </c>
      <c r="O12" s="5" t="n">
        <v>0.6140385819969639</v>
      </c>
      <c r="P12" s="5" t="n">
        <v>0.04660815059532664</v>
      </c>
      <c r="Q12" s="5" t="n">
        <v>0</v>
      </c>
      <c r="R12" s="5" t="n">
        <v>6.669528148811665e-06</v>
      </c>
      <c r="S12" s="5" t="n">
        <v>5.883860158082151e-05</v>
      </c>
      <c r="T12" s="5" t="n">
        <v>0.0001133010458522577</v>
      </c>
      <c r="U12" s="5" t="n">
        <v>1.117008265794799e-05</v>
      </c>
      <c r="V12" s="5" t="n">
        <v>0.4829638923821308</v>
      </c>
      <c r="W12" s="5" t="n">
        <v>0.1325741167407976</v>
      </c>
      <c r="X12" s="5">
        <f>IF(ABS(R12)&gt;0,ABS(S12)/ABS(R12),"nan")</f>
        <v/>
      </c>
      <c r="Y12" s="5">
        <f>IF(ABS(T12)&gt;0,ABS(S12)/ABS(T12),"nan")</f>
        <v/>
      </c>
      <c r="Z12" s="5">
        <f>IF(ABS(T12)&gt;0,1/ABS(T12),"nan")</f>
        <v/>
      </c>
      <c r="AA12" s="5">
        <f>IF(B12="PMOS",-P12,P12)</f>
        <v/>
      </c>
      <c r="AB12" s="5">
        <f>IF(B12="PMOS",-O12,O12)-ABS(V12)</f>
        <v/>
      </c>
      <c r="AC12" s="5">
        <f>AA12-ABS(W12)</f>
        <v/>
      </c>
    </row>
    <row r="13">
      <c r="A13" s="6" t="inlineStr">
        <is>
          <t>XNM5</t>
        </is>
      </c>
      <c r="B13" s="6" t="inlineStr">
        <is>
          <t>NMOS</t>
        </is>
      </c>
      <c r="C13" s="6" t="inlineStr">
        <is>
          <t>sky130_fd_pr__nfet_01v8_lvt</t>
        </is>
      </c>
      <c r="D13" s="6" t="inlineStr">
        <is>
          <t>VB2</t>
        </is>
      </c>
      <c r="E13" s="6" t="inlineStr">
        <is>
          <t>VB2</t>
        </is>
      </c>
      <c r="F13" s="6" t="inlineStr">
        <is>
          <t>NET2</t>
        </is>
      </c>
      <c r="G13" s="6" t="inlineStr">
        <is>
          <t>VSS</t>
        </is>
      </c>
      <c r="H13" s="7" t="n">
        <v>5</v>
      </c>
      <c r="I13" s="7" t="n">
        <v>1</v>
      </c>
      <c r="J13" s="8" t="n">
        <v>1</v>
      </c>
      <c r="K13" s="9" t="n">
        <v>0.6140385819969639</v>
      </c>
      <c r="L13" s="9" t="n">
        <v>0.6140385819969639</v>
      </c>
      <c r="M13" s="9" t="n">
        <v>0.04660815059532664</v>
      </c>
      <c r="N13" s="9" t="n">
        <v>0</v>
      </c>
      <c r="O13" s="9" t="n">
        <v>0.5674304314016373</v>
      </c>
      <c r="P13" s="9" t="n">
        <v>0.5674304314016373</v>
      </c>
      <c r="Q13" s="9" t="n">
        <v>-0.04660815059532664</v>
      </c>
      <c r="R13" s="9" t="n">
        <v>6.669528257065852e-06</v>
      </c>
      <c r="S13" s="9" t="n">
        <v>0.0001061100899117227</v>
      </c>
      <c r="T13" s="9" t="n">
        <v>1.270093293692045e-06</v>
      </c>
      <c r="U13" s="9" t="n">
        <v>1.868885255541244e-05</v>
      </c>
      <c r="V13" s="9" t="n">
        <v>0.4924942926194153</v>
      </c>
      <c r="W13" s="9" t="n">
        <v>0.0988112631072629</v>
      </c>
      <c r="X13" s="9">
        <f>IF(ABS(R13)&gt;0,ABS(S13)/ABS(R13),"nan")</f>
        <v/>
      </c>
      <c r="Y13" s="9">
        <f>IF(ABS(T13)&gt;0,ABS(S13)/ABS(T13),"nan")</f>
        <v/>
      </c>
      <c r="Z13" s="9">
        <f>IF(ABS(T13)&gt;0,1/ABS(T13),"nan")</f>
        <v/>
      </c>
      <c r="AA13" s="9">
        <f>IF(B13="PMOS",-P13,P13)</f>
        <v/>
      </c>
      <c r="AB13" s="9">
        <f>IF(B13="PMOS",-O13,O13)-ABS(V13)</f>
        <v/>
      </c>
      <c r="AC13" s="9">
        <f>AA13-ABS(W13)</f>
        <v/>
      </c>
    </row>
    <row r="14">
      <c r="A14" s="2" t="inlineStr">
        <is>
          <t>XNM4</t>
        </is>
      </c>
      <c r="B14" s="2" t="inlineStr">
        <is>
          <t>NMOS</t>
        </is>
      </c>
      <c r="C14" s="2" t="inlineStr">
        <is>
          <t>sky130_fd_pr__nfet_01v8_lvt</t>
        </is>
      </c>
      <c r="D14" s="2" t="inlineStr">
        <is>
          <t>VB3</t>
        </is>
      </c>
      <c r="E14" s="2" t="inlineStr">
        <is>
          <t>VB3</t>
        </is>
      </c>
      <c r="F14" s="2" t="inlineStr">
        <is>
          <t>VSS</t>
        </is>
      </c>
      <c r="G14" s="2" t="inlineStr">
        <is>
          <t>VSS</t>
        </is>
      </c>
      <c r="H14" s="3" t="n">
        <v>10</v>
      </c>
      <c r="I14" s="3" t="n">
        <v>0.5</v>
      </c>
      <c r="J14" s="4" t="n">
        <v>1</v>
      </c>
      <c r="K14" s="5" t="n">
        <v>0.5167184450746137</v>
      </c>
      <c r="L14" s="5" t="n">
        <v>0.5167184450746137</v>
      </c>
      <c r="M14" s="5" t="n">
        <v>0</v>
      </c>
      <c r="N14" s="5" t="n">
        <v>0</v>
      </c>
      <c r="O14" s="5" t="n">
        <v>0.5167184450746137</v>
      </c>
      <c r="P14" s="5" t="n">
        <v>0.5167184450746137</v>
      </c>
      <c r="Q14" s="5" t="n">
        <v>0</v>
      </c>
      <c r="R14" s="5" t="n">
        <v>6.907944550112726e-06</v>
      </c>
      <c r="S14" s="5" t="n">
        <v>0.0001450476482665503</v>
      </c>
      <c r="T14" s="5" t="n">
        <v>2.164833030789874e-06</v>
      </c>
      <c r="U14" s="5" t="n">
        <v>2.561212987008687e-05</v>
      </c>
      <c r="V14" s="5" t="n">
        <v>0.5151731947233759</v>
      </c>
      <c r="W14" s="5" t="n">
        <v>0.06519009419719426</v>
      </c>
      <c r="X14" s="5">
        <f>IF(ABS(R14)&gt;0,ABS(S14)/ABS(R14),"nan")</f>
        <v/>
      </c>
      <c r="Y14" s="5">
        <f>IF(ABS(T14)&gt;0,ABS(S14)/ABS(T14),"nan")</f>
        <v/>
      </c>
      <c r="Z14" s="5">
        <f>IF(ABS(T14)&gt;0,1/ABS(T14),"nan")</f>
        <v/>
      </c>
      <c r="AA14" s="5">
        <f>IF(B14="PMOS",-P14,P14)</f>
        <v/>
      </c>
      <c r="AB14" s="5">
        <f>IF(B14="PMOS",-O14,O14)-ABS(V14)</f>
        <v/>
      </c>
      <c r="AC14" s="5">
        <f>AA14-ABS(W14)</f>
        <v/>
      </c>
    </row>
    <row r="15">
      <c r="A15" s="6" t="inlineStr">
        <is>
          <t>XNM3</t>
        </is>
      </c>
      <c r="B15" s="6" t="inlineStr">
        <is>
          <t>NMOS</t>
        </is>
      </c>
      <c r="C15" s="6" t="inlineStr">
        <is>
          <t>sky130_fd_pr__nfet_01v8_lvt</t>
        </is>
      </c>
      <c r="D15" s="6" t="inlineStr">
        <is>
          <t>NET24</t>
        </is>
      </c>
      <c r="E15" s="6" t="inlineStr">
        <is>
          <t>VB3</t>
        </is>
      </c>
      <c r="F15" s="6" t="inlineStr">
        <is>
          <t>VSS</t>
        </is>
      </c>
      <c r="G15" s="6" t="inlineStr">
        <is>
          <t>VSS</t>
        </is>
      </c>
      <c r="H15" s="7" t="n">
        <v>10</v>
      </c>
      <c r="I15" s="7" t="n">
        <v>0.5</v>
      </c>
      <c r="J15" s="8" t="n">
        <v>2</v>
      </c>
      <c r="K15" s="9" t="n">
        <v>0.1183243645281022</v>
      </c>
      <c r="L15" s="9" t="n">
        <v>0.5167184450746137</v>
      </c>
      <c r="M15" s="9" t="n">
        <v>0</v>
      </c>
      <c r="N15" s="9" t="n">
        <v>0</v>
      </c>
      <c r="O15" s="9" t="n">
        <v>0.5167184450746137</v>
      </c>
      <c r="P15" s="9" t="n">
        <v>0.1183243645281022</v>
      </c>
      <c r="Q15" s="9" t="n">
        <v>0</v>
      </c>
      <c r="R15" s="9" t="n">
        <v>1.146757280133371e-05</v>
      </c>
      <c r="S15" s="9" t="n">
        <v>0.0002433126854862012</v>
      </c>
      <c r="T15" s="9" t="n">
        <v>1.364807568766766e-05</v>
      </c>
      <c r="U15" s="9" t="n">
        <v>4.307343191563731e-05</v>
      </c>
      <c r="V15" s="9" t="n">
        <v>0.5151731947311947</v>
      </c>
      <c r="W15" s="9" t="n">
        <v>0.0651906429901547</v>
      </c>
      <c r="X15" s="9">
        <f>IF(ABS(R15)&gt;0,ABS(S15)/ABS(R15),"nan")</f>
        <v/>
      </c>
      <c r="Y15" s="9">
        <f>IF(ABS(T15)&gt;0,ABS(S15)/ABS(T15),"nan")</f>
        <v/>
      </c>
      <c r="Z15" s="9">
        <f>IF(ABS(T15)&gt;0,1/ABS(T15),"nan")</f>
        <v/>
      </c>
      <c r="AA15" s="9">
        <f>IF(B15="PMOS",-P15,P15)</f>
        <v/>
      </c>
      <c r="AB15" s="9">
        <f>IF(B15="PMOS",-O15,O15)-ABS(V15)</f>
        <v/>
      </c>
      <c r="AC15" s="9">
        <f>AA15-ABS(W15)</f>
        <v/>
      </c>
    </row>
    <row r="16">
      <c r="A16" s="2" t="inlineStr">
        <is>
          <t>XNM2</t>
        </is>
      </c>
      <c r="B16" s="2" t="inlineStr">
        <is>
          <t>NMOS</t>
        </is>
      </c>
      <c r="C16" s="2" t="inlineStr">
        <is>
          <t>sky130_fd_pr__nfet_01v8_lvt</t>
        </is>
      </c>
      <c r="D16" s="2" t="inlineStr">
        <is>
          <t>NET27</t>
        </is>
      </c>
      <c r="E16" s="2" t="inlineStr">
        <is>
          <t>VB3</t>
        </is>
      </c>
      <c r="F16" s="2" t="inlineStr">
        <is>
          <t>VSS</t>
        </is>
      </c>
      <c r="G16" s="2" t="inlineStr">
        <is>
          <t>VSS</t>
        </is>
      </c>
      <c r="H16" s="3" t="n">
        <v>10</v>
      </c>
      <c r="I16" s="3" t="n">
        <v>0.5</v>
      </c>
      <c r="J16" s="4" t="n">
        <v>2</v>
      </c>
      <c r="K16" s="5" t="n">
        <v>0.1155747565637116</v>
      </c>
      <c r="L16" s="5" t="n">
        <v>0.5167184450746137</v>
      </c>
      <c r="M16" s="5" t="n">
        <v>0</v>
      </c>
      <c r="N16" s="5" t="n">
        <v>0</v>
      </c>
      <c r="O16" s="5" t="n">
        <v>0.5167184450746137</v>
      </c>
      <c r="P16" s="5" t="n">
        <v>0.1155747565637116</v>
      </c>
      <c r="Q16" s="5" t="n">
        <v>0</v>
      </c>
      <c r="R16" s="5" t="n">
        <v>1.142919143479872e-05</v>
      </c>
      <c r="S16" s="5" t="n">
        <v>0.0002423351887417585</v>
      </c>
      <c r="T16" s="5" t="n">
        <v>1.427994782574789e-05</v>
      </c>
      <c r="U16" s="5" t="n">
        <v>4.290393363728472e-05</v>
      </c>
      <c r="V16" s="5" t="n">
        <v>0.5151731947312489</v>
      </c>
      <c r="W16" s="5" t="n">
        <v>0.06519064677758231</v>
      </c>
      <c r="X16" s="5">
        <f>IF(ABS(R16)&gt;0,ABS(S16)/ABS(R16),"nan")</f>
        <v/>
      </c>
      <c r="Y16" s="5">
        <f>IF(ABS(T16)&gt;0,ABS(S16)/ABS(T16),"nan")</f>
        <v/>
      </c>
      <c r="Z16" s="5">
        <f>IF(ABS(T16)&gt;0,1/ABS(T16),"nan")</f>
        <v/>
      </c>
      <c r="AA16" s="5">
        <f>IF(B16="PMOS",-P16,P16)</f>
        <v/>
      </c>
      <c r="AB16" s="5">
        <f>IF(B16="PMOS",-O16,O16)-ABS(V16)</f>
        <v/>
      </c>
      <c r="AC16" s="5">
        <f>AA16-ABS(W16)</f>
        <v/>
      </c>
    </row>
    <row r="17">
      <c r="A17" s="6" t="inlineStr">
        <is>
          <t>XNM1</t>
        </is>
      </c>
      <c r="B17" s="6" t="inlineStr">
        <is>
          <t>NMOS</t>
        </is>
      </c>
      <c r="C17" s="6" t="inlineStr">
        <is>
          <t>sky130_fd_pr__nfet_01v8_lvt</t>
        </is>
      </c>
      <c r="D17" s="6" t="inlineStr">
        <is>
          <t>NET34</t>
        </is>
      </c>
      <c r="E17" s="6" t="inlineStr">
        <is>
          <t>VB2</t>
        </is>
      </c>
      <c r="F17" s="6" t="inlineStr">
        <is>
          <t>NET24</t>
        </is>
      </c>
      <c r="G17" s="6" t="inlineStr">
        <is>
          <t>VSS</t>
        </is>
      </c>
      <c r="H17" s="7" t="n">
        <v>20</v>
      </c>
      <c r="I17" s="7" t="n">
        <v>0.5</v>
      </c>
      <c r="J17" s="8" t="n">
        <v>1</v>
      </c>
      <c r="K17" s="9" t="n">
        <v>0.9157838907348247</v>
      </c>
      <c r="L17" s="9" t="n">
        <v>0.6140385819969639</v>
      </c>
      <c r="M17" s="9" t="n">
        <v>0.1183243645281022</v>
      </c>
      <c r="N17" s="9" t="n">
        <v>0</v>
      </c>
      <c r="O17" s="9" t="n">
        <v>0.4957142174688617</v>
      </c>
      <c r="P17" s="9" t="n">
        <v>0.7974595262067224</v>
      </c>
      <c r="Q17" s="9" t="n">
        <v>-0.1183243645281022</v>
      </c>
      <c r="R17" s="9" t="n">
        <v>6.129279653631325e-06</v>
      </c>
      <c r="S17" s="9" t="n">
        <v>0.0001397422452196969</v>
      </c>
      <c r="T17" s="9" t="n">
        <v>1.876374060320116e-06</v>
      </c>
      <c r="U17" s="9" t="n">
        <v>2.346208196249844e-05</v>
      </c>
      <c r="V17" s="9" t="n">
        <v>0.5368866779416829</v>
      </c>
      <c r="W17" s="9" t="n">
        <v>0.05379900293218246</v>
      </c>
      <c r="X17" s="9">
        <f>IF(ABS(R17)&gt;0,ABS(S17)/ABS(R17),"nan")</f>
        <v/>
      </c>
      <c r="Y17" s="9">
        <f>IF(ABS(T17)&gt;0,ABS(S17)/ABS(T17),"nan")</f>
        <v/>
      </c>
      <c r="Z17" s="9">
        <f>IF(ABS(T17)&gt;0,1/ABS(T17),"nan")</f>
        <v/>
      </c>
      <c r="AA17" s="9">
        <f>IF(B17="PMOS",-P17,P17)</f>
        <v/>
      </c>
      <c r="AB17" s="9">
        <f>IF(B17="PMOS",-O17,O17)-ABS(V17)</f>
        <v/>
      </c>
      <c r="AC17" s="9">
        <f>AA17-ABS(W17)</f>
        <v/>
      </c>
    </row>
    <row r="18">
      <c r="A18" s="2" t="inlineStr">
        <is>
          <t>XNM0</t>
        </is>
      </c>
      <c r="B18" s="2" t="inlineStr">
        <is>
          <t>NMOS</t>
        </is>
      </c>
      <c r="C18" s="2" t="inlineStr">
        <is>
          <t>sky130_fd_pr__nfet_01v8_lvt</t>
        </is>
      </c>
      <c r="D18" s="2" t="inlineStr">
        <is>
          <t>VOUT</t>
        </is>
      </c>
      <c r="E18" s="2" t="inlineStr">
        <is>
          <t>VB2</t>
        </is>
      </c>
      <c r="F18" s="2" t="inlineStr">
        <is>
          <t>NET27</t>
        </is>
      </c>
      <c r="G18" s="2" t="inlineStr">
        <is>
          <t>VSS</t>
        </is>
      </c>
      <c r="H18" s="3" t="n">
        <v>20</v>
      </c>
      <c r="I18" s="3" t="n">
        <v>0.5</v>
      </c>
      <c r="J18" s="4" t="n">
        <v>1</v>
      </c>
      <c r="K18" s="5" t="n">
        <v>0.7217347118789599</v>
      </c>
      <c r="L18" s="5" t="n">
        <v>0.6140385819969639</v>
      </c>
      <c r="M18" s="5" t="n">
        <v>0.1155747565637116</v>
      </c>
      <c r="N18" s="5" t="n">
        <v>0</v>
      </c>
      <c r="O18" s="5" t="n">
        <v>0.4984638254332523</v>
      </c>
      <c r="P18" s="5" t="n">
        <v>0.6061599553152482</v>
      </c>
      <c r="Q18" s="5" t="n">
        <v>-0.1155747565637116</v>
      </c>
      <c r="R18" s="5" t="n">
        <v>6.204286057425976e-06</v>
      </c>
      <c r="S18" s="5" t="n">
        <v>0.000141679399747682</v>
      </c>
      <c r="T18" s="5" t="n">
        <v>2.076633669684233e-06</v>
      </c>
      <c r="U18" s="5" t="n">
        <v>2.380070493155496e-05</v>
      </c>
      <c r="V18" s="5" t="n">
        <v>0.5363944981772086</v>
      </c>
      <c r="W18" s="5" t="n">
        <v>0.05450576965393172</v>
      </c>
      <c r="X18" s="5">
        <f>IF(ABS(R18)&gt;0,ABS(S18)/ABS(R18),"nan")</f>
        <v/>
      </c>
      <c r="Y18" s="5">
        <f>IF(ABS(T18)&gt;0,ABS(S18)/ABS(T18),"nan")</f>
        <v/>
      </c>
      <c r="Z18" s="5">
        <f>IF(ABS(T18)&gt;0,1/ABS(T18),"nan")</f>
        <v/>
      </c>
      <c r="AA18" s="5">
        <f>IF(B18="PMOS",-P18,P18)</f>
        <v/>
      </c>
      <c r="AB18" s="5">
        <f>IF(B18="PMOS",-O18,O18)-ABS(V18)</f>
        <v/>
      </c>
      <c r="AC18" s="5">
        <f>AA18-ABS(W18)</f>
        <v/>
      </c>
    </row>
    <row r="20">
      <c r="A20" t="inlineStr">
        <is>
          <t>DC snapshot: XDUT_CM voltage follower. Signed terminal voltages; model currents already include M.</t>
        </is>
      </c>
    </row>
  </sheetData>
  <autoFilter ref="A1:A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4" customHeight="1">
      <c r="A1" s="1" t="inlineStr">
        <is>
          <t>Device</t>
        </is>
      </c>
      <c r="B1" s="1" t="inlineStr">
        <is>
          <t>MOS_Type</t>
        </is>
      </c>
      <c r="C1" s="1" t="inlineStr">
        <is>
          <t>M</t>
        </is>
      </c>
      <c r="D1" s="1" t="inlineStr">
        <is>
          <t>cgg_F</t>
        </is>
      </c>
      <c r="E1" s="1" t="inlineStr">
        <is>
          <t>cgs_F</t>
        </is>
      </c>
      <c r="F1" s="1" t="inlineStr">
        <is>
          <t>cgd_F</t>
        </is>
      </c>
      <c r="G1" s="1" t="inlineStr">
        <is>
          <t>cgb_F</t>
        </is>
      </c>
      <c r="H1" s="1" t="inlineStr">
        <is>
          <t>cdg_F</t>
        </is>
      </c>
      <c r="I1" s="1" t="inlineStr">
        <is>
          <t>cdd_F</t>
        </is>
      </c>
      <c r="J1" s="1" t="inlineStr">
        <is>
          <t>cds_F</t>
        </is>
      </c>
      <c r="K1" s="1" t="inlineStr">
        <is>
          <t>cdb_F</t>
        </is>
      </c>
      <c r="L1" s="1" t="inlineStr">
        <is>
          <t>csg_F</t>
        </is>
      </c>
      <c r="M1" s="1" t="inlineStr">
        <is>
          <t>csd_F</t>
        </is>
      </c>
      <c r="N1" s="1" t="inlineStr">
        <is>
          <t>css_F</t>
        </is>
      </c>
      <c r="O1" s="1" t="inlineStr">
        <is>
          <t>csb_F</t>
        </is>
      </c>
      <c r="P1" s="1" t="inlineStr">
        <is>
          <t>cbg_F</t>
        </is>
      </c>
      <c r="Q1" s="1" t="inlineStr">
        <is>
          <t>cbd_F</t>
        </is>
      </c>
      <c r="R1" s="1" t="inlineStr">
        <is>
          <t>cbs_F</t>
        </is>
      </c>
      <c r="S1" s="1" t="inlineStr">
        <is>
          <t>cbb_F</t>
        </is>
      </c>
      <c r="T1" s="1" t="inlineStr">
        <is>
          <t>capbd_F</t>
        </is>
      </c>
      <c r="U1" s="1" t="inlineStr">
        <is>
          <t>capbs_F</t>
        </is>
      </c>
      <c r="V1" s="1" t="inlineStr">
        <is>
          <t>qg_C</t>
        </is>
      </c>
      <c r="W1" s="1" t="inlineStr">
        <is>
          <t>qb_C</t>
        </is>
      </c>
      <c r="X1" s="1" t="inlineStr">
        <is>
          <t>qd_C</t>
        </is>
      </c>
      <c r="Y1" s="1" t="inlineStr">
        <is>
          <t>qs_C</t>
        </is>
      </c>
    </row>
    <row r="2">
      <c r="A2" s="2" t="inlineStr">
        <is>
          <t>XPM9</t>
        </is>
      </c>
      <c r="B2" s="2" t="inlineStr">
        <is>
          <t>PMOS</t>
        </is>
      </c>
      <c r="C2" s="5" t="n">
        <v>1</v>
      </c>
      <c r="D2" s="5" t="n">
        <v>8.93140172145127e-15</v>
      </c>
      <c r="E2" s="5" t="n">
        <v>-5.787573358856352e-15</v>
      </c>
      <c r="F2" s="5" t="n">
        <v>-1.817324086067464e-19</v>
      </c>
      <c r="G2" s="5" t="n">
        <v>-3.143646630186311e-15</v>
      </c>
      <c r="H2" s="5" t="n">
        <v>-2.177360370373585e-15</v>
      </c>
      <c r="I2" s="5" t="n">
        <v>2.550144535234591e-19</v>
      </c>
      <c r="J2" s="5" t="n">
        <v>2.813622933545226e-15</v>
      </c>
      <c r="K2" s="5" t="n">
        <v>-6.365175776251642e-16</v>
      </c>
      <c r="L2" s="5" t="n">
        <v>-3.264441824073321e-15</v>
      </c>
      <c r="M2" s="5" t="n">
        <v>6.566647178778554e-20</v>
      </c>
      <c r="N2" s="5" t="n">
        <v>4.218612971250716e-15</v>
      </c>
      <c r="O2" s="5" t="n">
        <v>-9.542368136491839e-16</v>
      </c>
      <c r="P2" s="5" t="n">
        <v>-3.489599527004364e-15</v>
      </c>
      <c r="Q2" s="5" t="n">
        <v>-1.389485167044982e-19</v>
      </c>
      <c r="R2" s="5" t="n">
        <v>-1.24466254593959e-15</v>
      </c>
      <c r="S2" s="5" t="n">
        <v>4.734401021460659e-15</v>
      </c>
      <c r="T2" s="5" t="n">
        <v>6.837244632386653e-16</v>
      </c>
      <c r="U2" s="5" t="n">
        <v>7.382766884467501e-16</v>
      </c>
      <c r="V2" s="5" t="n">
        <v>1.079524843025687e-14</v>
      </c>
      <c r="W2" s="5" t="n">
        <v>-1.012177693376953e-14</v>
      </c>
      <c r="X2" s="5" t="n">
        <v>-2.694642476465469e-16</v>
      </c>
      <c r="Y2" s="5" t="n">
        <v>-4.040072488407944e-16</v>
      </c>
    </row>
    <row r="3">
      <c r="A3" s="6" t="inlineStr">
        <is>
          <t>XPM8</t>
        </is>
      </c>
      <c r="B3" s="6" t="inlineStr">
        <is>
          <t>PMOS</t>
        </is>
      </c>
      <c r="C3" s="9" t="n">
        <v>1</v>
      </c>
      <c r="D3" s="9" t="n">
        <v>8.931266135084165e-15</v>
      </c>
      <c r="E3" s="9" t="n">
        <v>-5.787433538127184e-15</v>
      </c>
      <c r="F3" s="9" t="n">
        <v>-1.434957547927057e-19</v>
      </c>
      <c r="G3" s="9" t="n">
        <v>-3.143689101202188e-15</v>
      </c>
      <c r="H3" s="9" t="n">
        <v>-2.177170102906664e-15</v>
      </c>
      <c r="I3" s="9" t="n">
        <v>2.014820603548055e-19</v>
      </c>
      <c r="J3" s="9" t="n">
        <v>2.81342225724067e-15</v>
      </c>
      <c r="K3" s="9" t="n">
        <v>-6.364536363943606e-16</v>
      </c>
      <c r="L3" s="9" t="n">
        <v>-3.264392841007171e-15</v>
      </c>
      <c r="M3" s="9" t="n">
        <v>5.174395736752339e-20</v>
      </c>
      <c r="N3" s="9" t="n">
        <v>4.218561415512357e-15</v>
      </c>
      <c r="O3" s="9" t="n">
        <v>-9.54220318462555e-16</v>
      </c>
      <c r="P3" s="9" t="n">
        <v>-3.48970319117033e-15</v>
      </c>
      <c r="Q3" s="9" t="n">
        <v>-1.097302629296231e-19</v>
      </c>
      <c r="R3" s="9" t="n">
        <v>-1.244550134625843e-15</v>
      </c>
      <c r="S3" s="9" t="n">
        <v>4.734363056059103e-15</v>
      </c>
      <c r="T3" s="9" t="n">
        <v>6.609829214582049e-16</v>
      </c>
      <c r="U3" s="9" t="n">
        <v>7.382766884472545e-16</v>
      </c>
      <c r="V3" s="9" t="n">
        <v>1.079523270208837e-14</v>
      </c>
      <c r="W3" s="9" t="n">
        <v>-1.012178896001373e-14</v>
      </c>
      <c r="X3" s="9" t="n">
        <v>-2.694421706742431e-16</v>
      </c>
      <c r="Y3" s="9" t="n">
        <v>-4.040015714003998e-16</v>
      </c>
    </row>
    <row r="4">
      <c r="A4" s="2" t="inlineStr">
        <is>
          <t>XPM7</t>
        </is>
      </c>
      <c r="B4" s="2" t="inlineStr">
        <is>
          <t>PMOS</t>
        </is>
      </c>
      <c r="C4" s="5" t="n">
        <v>1</v>
      </c>
      <c r="D4" s="5" t="n">
        <v>8.935484702065529e-15</v>
      </c>
      <c r="E4" s="5" t="n">
        <v>-5.790962161835086e-15</v>
      </c>
      <c r="F4" s="5" t="n">
        <v>-2.144761852156358e-18</v>
      </c>
      <c r="G4" s="5" t="n">
        <v>-3.142377778378287e-15</v>
      </c>
      <c r="H4" s="5" t="n">
        <v>-2.18305949399639e-15</v>
      </c>
      <c r="I4" s="5" t="n">
        <v>2.984655281388894e-18</v>
      </c>
      <c r="J4" s="5" t="n">
        <v>2.818487410953165e-15</v>
      </c>
      <c r="K4" s="5" t="n">
        <v>-6.38412572238164e-16</v>
      </c>
      <c r="L4" s="5" t="n">
        <v>-3.265946049951351e-15</v>
      </c>
      <c r="M4" s="5" t="n">
        <v>7.990893930625896e-19</v>
      </c>
      <c r="N4" s="5" t="n">
        <v>4.219885398363821e-15</v>
      </c>
      <c r="O4" s="5" t="n">
        <v>-9.547384378055322e-16</v>
      </c>
      <c r="P4" s="5" t="n">
        <v>-3.486479158117788e-15</v>
      </c>
      <c r="Q4" s="5" t="n">
        <v>-1.638982822295125e-18</v>
      </c>
      <c r="R4" s="5" t="n">
        <v>-1.2474106474819e-15</v>
      </c>
      <c r="S4" s="5" t="n">
        <v>4.735528788421983e-15</v>
      </c>
      <c r="T4" s="5" t="n">
        <v>8.979460012306773e-16</v>
      </c>
      <c r="U4" s="5" t="n">
        <v>7.382766884440488e-16</v>
      </c>
      <c r="V4" s="5" t="n">
        <v>1.07957009214504e-14</v>
      </c>
      <c r="W4" s="5" t="n">
        <v>-1.01214311133266e-14</v>
      </c>
      <c r="X4" s="5" t="n">
        <v>-2.700961426215969e-16</v>
      </c>
      <c r="Y4" s="5" t="n">
        <v>-4.041736655021998e-16</v>
      </c>
    </row>
    <row r="5">
      <c r="A5" s="6" t="inlineStr">
        <is>
          <t>XPM6</t>
        </is>
      </c>
      <c r="B5" s="6" t="inlineStr">
        <is>
          <t>PMOS</t>
        </is>
      </c>
      <c r="C5" s="9" t="n">
        <v>2</v>
      </c>
      <c r="D5" s="9" t="n">
        <v>1.78677321183082e-14</v>
      </c>
      <c r="E5" s="9" t="n">
        <v>-1.157953178061877e-14</v>
      </c>
      <c r="F5" s="9" t="n">
        <v>-2.442273467027617e-18</v>
      </c>
      <c r="G5" s="9" t="n">
        <v>-6.285758064222407e-15</v>
      </c>
      <c r="H5" s="9" t="n">
        <v>-4.361611207071538e-15</v>
      </c>
      <c r="I5" s="9" t="n">
        <v>3.406886088396252e-18</v>
      </c>
      <c r="J5" s="9" t="n">
        <v>5.63353771924138e-15</v>
      </c>
      <c r="K5" s="9" t="n">
        <v>-1.275333398258239e-15</v>
      </c>
      <c r="L5" s="9" t="n">
        <v>-6.530688720936779e-15</v>
      </c>
      <c r="M5" s="9" t="n">
        <v>9.017905344079973e-19</v>
      </c>
      <c r="N5" s="9" t="n">
        <v>8.438864226005072e-15</v>
      </c>
      <c r="O5" s="9" t="n">
        <v>-1.9090772956027e-15</v>
      </c>
      <c r="P5" s="9" t="n">
        <v>-6.975432190299886e-15</v>
      </c>
      <c r="Q5" s="9" t="n">
        <v>-1.866403155776633e-18</v>
      </c>
      <c r="R5" s="9" t="n">
        <v>-2.492870164627683e-15</v>
      </c>
      <c r="S5" s="9" t="n">
        <v>9.470168758083347e-15</v>
      </c>
      <c r="T5" s="9" t="n">
        <v>1.708386323211734e-15</v>
      </c>
      <c r="U5" s="9" t="n">
        <v>1.476553376888922e-15</v>
      </c>
      <c r="V5" s="9" t="n">
        <v>2.159105052779944e-14</v>
      </c>
      <c r="W5" s="9" t="n">
        <v>-2.024313069853274e-14</v>
      </c>
      <c r="X5" s="9" t="n">
        <v>-5.397028240272178e-16</v>
      </c>
      <c r="Y5" s="9" t="n">
        <v>-8.082170052394816e-16</v>
      </c>
    </row>
    <row r="6">
      <c r="A6" s="2" t="inlineStr">
        <is>
          <t>XPM5</t>
        </is>
      </c>
      <c r="B6" s="2" t="inlineStr">
        <is>
          <t>PMOS</t>
        </is>
      </c>
      <c r="C6" s="5" t="n">
        <v>1</v>
      </c>
      <c r="D6" s="5" t="n">
        <v>1.362450743550375e-14</v>
      </c>
      <c r="E6" s="5" t="n">
        <v>-5.88460550848799e-15</v>
      </c>
      <c r="F6" s="5" t="n">
        <v>-2.489554216800382e-19</v>
      </c>
      <c r="G6" s="5" t="n">
        <v>-7.739652971594084e-15</v>
      </c>
      <c r="H6" s="5" t="n">
        <v>-2.347024067742488e-15</v>
      </c>
      <c r="I6" s="5" t="n">
        <v>3.265487090528517e-19</v>
      </c>
      <c r="J6" s="5" t="n">
        <v>3.059657058408381e-15</v>
      </c>
      <c r="K6" s="5" t="n">
        <v>-7.129595393749454e-16</v>
      </c>
      <c r="L6" s="5" t="n">
        <v>-3.518467917807311e-15</v>
      </c>
      <c r="M6" s="5" t="n">
        <v>8.437711103339708e-20</v>
      </c>
      <c r="N6" s="5" t="n">
        <v>4.587130313996518e-15</v>
      </c>
      <c r="O6" s="5" t="n">
        <v>-1.068746773300239e-15</v>
      </c>
      <c r="P6" s="5" t="n">
        <v>-7.759015449953955e-15</v>
      </c>
      <c r="Q6" s="5" t="n">
        <v>-1.619703984062106e-19</v>
      </c>
      <c r="R6" s="5" t="n">
        <v>-1.762181863916909e-15</v>
      </c>
      <c r="S6" s="5" t="n">
        <v>9.521359284269269e-15</v>
      </c>
      <c r="T6" s="5" t="n">
        <v>1.4327173156617e-15</v>
      </c>
      <c r="U6" s="5" t="n">
        <v>1.47655337689234e-15</v>
      </c>
      <c r="V6" s="5" t="n">
        <v>2.023380648562977e-14</v>
      </c>
      <c r="W6" s="5" t="n">
        <v>-1.959761346818075e-14</v>
      </c>
      <c r="X6" s="5" t="n">
        <v>-2.545646821585429e-16</v>
      </c>
      <c r="Y6" s="5" t="n">
        <v>-3.816283352904751e-16</v>
      </c>
    </row>
    <row r="7">
      <c r="A7" s="6" t="inlineStr">
        <is>
          <t>XPM4</t>
        </is>
      </c>
      <c r="B7" s="6" t="inlineStr">
        <is>
          <t>PMOS</t>
        </is>
      </c>
      <c r="C7" s="9" t="n">
        <v>1</v>
      </c>
      <c r="D7" s="9" t="n">
        <v>1.368875568312842e-14</v>
      </c>
      <c r="E7" s="9" t="n">
        <v>-5.972973089307803e-15</v>
      </c>
      <c r="F7" s="9" t="n">
        <v>-2.550788248357744e-19</v>
      </c>
      <c r="G7" s="9" t="n">
        <v>-7.715527514995782e-15</v>
      </c>
      <c r="H7" s="9" t="n">
        <v>-2.380643402981722e-15</v>
      </c>
      <c r="I7" s="9" t="n">
        <v>3.345732277507357e-19</v>
      </c>
      <c r="J7" s="9" t="n">
        <v>3.102864993066663e-15</v>
      </c>
      <c r="K7" s="9" t="n">
        <v>-7.22556163312692e-16</v>
      </c>
      <c r="L7" s="9" t="n">
        <v>-3.568854692425128e-15</v>
      </c>
      <c r="M7" s="9" t="n">
        <v>8.645958548711734e-20</v>
      </c>
      <c r="N7" s="9" t="n">
        <v>4.651896282619986e-15</v>
      </c>
      <c r="O7" s="9" t="n">
        <v>-1.083128049780345e-15</v>
      </c>
      <c r="P7" s="9" t="n">
        <v>-7.739257587721571e-15</v>
      </c>
      <c r="Q7" s="9" t="n">
        <v>-1.659539884020787e-19</v>
      </c>
      <c r="R7" s="9" t="n">
        <v>-1.781788186378846e-15</v>
      </c>
      <c r="S7" s="9" t="n">
        <v>9.521211728088818e-15</v>
      </c>
      <c r="T7" s="9" t="n">
        <v>1.434185340480144e-15</v>
      </c>
      <c r="U7" s="9" t="n">
        <v>1.476553376892318e-15</v>
      </c>
      <c r="V7" s="9" t="n">
        <v>2.025749738770673e-14</v>
      </c>
      <c r="W7" s="9" t="n">
        <v>-1.961105554404093e-14</v>
      </c>
      <c r="X7" s="9" t="n">
        <v>-2.58666113710689e-16</v>
      </c>
      <c r="Y7" s="9" t="n">
        <v>-3.877757299551058e-16</v>
      </c>
    </row>
    <row r="8">
      <c r="A8" s="2" t="inlineStr">
        <is>
          <t>XPM3</t>
        </is>
      </c>
      <c r="B8" s="2" t="inlineStr">
        <is>
          <t>PMOS</t>
        </is>
      </c>
      <c r="C8" s="5" t="n">
        <v>1</v>
      </c>
      <c r="D8" s="5" t="n">
        <v>4.417613217099095e-15</v>
      </c>
      <c r="E8" s="5" t="n">
        <v>-3.204158932402053e-15</v>
      </c>
      <c r="F8" s="5" t="n">
        <v>-2.108072686324556e-18</v>
      </c>
      <c r="G8" s="5" t="n">
        <v>-1.211346212010717e-15</v>
      </c>
      <c r="H8" s="5" t="n">
        <v>-1.181103460545144e-15</v>
      </c>
      <c r="I8" s="5" t="n">
        <v>3.100162406204718e-18</v>
      </c>
      <c r="J8" s="5" t="n">
        <v>1.498899702089001e-15</v>
      </c>
      <c r="K8" s="5" t="n">
        <v>-3.208964039500616e-16</v>
      </c>
      <c r="L8" s="5" t="n">
        <v>-1.765081792173926e-15</v>
      </c>
      <c r="M8" s="5" t="n">
        <v>8.328144919125146e-19</v>
      </c>
      <c r="N8" s="5" t="n">
        <v>2.24350934327489e-15</v>
      </c>
      <c r="O8" s="5" t="n">
        <v>-4.792603655928765e-16</v>
      </c>
      <c r="P8" s="5" t="n">
        <v>-1.471427964380025e-15</v>
      </c>
      <c r="Q8" s="5" t="n">
        <v>-1.824904211792677e-18</v>
      </c>
      <c r="R8" s="5" t="n">
        <v>-5.382501129618376e-16</v>
      </c>
      <c r="S8" s="5" t="n">
        <v>2.011502981553655e-15</v>
      </c>
      <c r="T8" s="5" t="n">
        <v>5.530293062317105e-16</v>
      </c>
      <c r="U8" s="5" t="n">
        <v>4.429660130663053e-16</v>
      </c>
      <c r="V8" s="5" t="n">
        <v>4.855855758064318e-15</v>
      </c>
      <c r="W8" s="5" t="n">
        <v>-4.39237092438577e-15</v>
      </c>
      <c r="X8" s="5" t="n">
        <v>-1.857456029002138e-16</v>
      </c>
      <c r="Y8" s="5" t="n">
        <v>-2.777392307783339e-16</v>
      </c>
    </row>
    <row r="9">
      <c r="A9" s="6" t="inlineStr">
        <is>
          <t>XPM2</t>
        </is>
      </c>
      <c r="B9" s="6" t="inlineStr">
        <is>
          <t>PMOS</t>
        </is>
      </c>
      <c r="C9" s="9" t="n">
        <v>1</v>
      </c>
      <c r="D9" s="9" t="n">
        <v>4.417862353190951e-15</v>
      </c>
      <c r="E9" s="9" t="n">
        <v>-3.204272847987399e-15</v>
      </c>
      <c r="F9" s="9" t="n">
        <v>-2.314980682854296e-18</v>
      </c>
      <c r="G9" s="9" t="n">
        <v>-1.211274524520697e-15</v>
      </c>
      <c r="H9" s="9" t="n">
        <v>-1.181468828665442e-15</v>
      </c>
      <c r="I9" s="9" t="n">
        <v>3.401821561492679e-18</v>
      </c>
      <c r="J9" s="9" t="n">
        <v>1.499077185407386e-15</v>
      </c>
      <c r="K9" s="9" t="n">
        <v>-3.210101783034369e-16</v>
      </c>
      <c r="L9" s="9" t="n">
        <v>-1.76518091903014e-15</v>
      </c>
      <c r="M9" s="9" t="n">
        <v>9.165470501538827e-19</v>
      </c>
      <c r="N9" s="9" t="n">
        <v>2.243555767477639e-15</v>
      </c>
      <c r="O9" s="9" t="n">
        <v>-4.792913954976528e-16</v>
      </c>
      <c r="P9" s="9" t="n">
        <v>-1.471212605495369e-15</v>
      </c>
      <c r="Q9" s="9" t="n">
        <v>-2.003387928792266e-18</v>
      </c>
      <c r="R9" s="9" t="n">
        <v>-5.383601048976255e-16</v>
      </c>
      <c r="S9" s="9" t="n">
        <v>2.011576098321787e-15</v>
      </c>
      <c r="T9" s="9" t="n">
        <v>5.568341688239521e-16</v>
      </c>
      <c r="U9" s="9" t="n">
        <v>4.429660130662733e-16</v>
      </c>
      <c r="V9" s="9" t="n">
        <v>4.855886653430182e-15</v>
      </c>
      <c r="W9" s="9" t="n">
        <v>-4.392344183386208e-15</v>
      </c>
      <c r="X9" s="9" t="n">
        <v>-1.857910203486772e-16</v>
      </c>
      <c r="Y9" s="9" t="n">
        <v>-2.777514496952962e-16</v>
      </c>
    </row>
    <row r="10">
      <c r="A10" s="2" t="inlineStr">
        <is>
          <t>XPM1</t>
        </is>
      </c>
      <c r="B10" s="2" t="inlineStr">
        <is>
          <t>PMOS</t>
        </is>
      </c>
      <c r="C10" s="5" t="n">
        <v>1</v>
      </c>
      <c r="D10" s="5" t="n">
        <v>5.178970754486716e-15</v>
      </c>
      <c r="E10" s="5" t="n">
        <v>-3.321266644191262e-15</v>
      </c>
      <c r="F10" s="5" t="n">
        <v>-2.294954362885025e-18</v>
      </c>
      <c r="G10" s="5" t="n">
        <v>-1.855409155932569e-15</v>
      </c>
      <c r="H10" s="5" t="n">
        <v>-1.276992098748302e-15</v>
      </c>
      <c r="I10" s="5" t="n">
        <v>3.201602997529166e-18</v>
      </c>
      <c r="J10" s="5" t="n">
        <v>1.611258862078558e-15</v>
      </c>
      <c r="K10" s="5" t="n">
        <v>-3.374683663277859e-16</v>
      </c>
      <c r="L10" s="5" t="n">
        <v>-1.908036283966336e-15</v>
      </c>
      <c r="M10" s="5" t="n">
        <v>8.626802552780242e-19</v>
      </c>
      <c r="N10" s="5" t="n">
        <v>2.411152411624327e-15</v>
      </c>
      <c r="O10" s="5" t="n">
        <v>-5.039788079132702e-16</v>
      </c>
      <c r="P10" s="5" t="n">
        <v>-1.993942371772079e-15</v>
      </c>
      <c r="Q10" s="5" t="n">
        <v>-1.769328889922165e-18</v>
      </c>
      <c r="R10" s="5" t="n">
        <v>-7.011446295116239e-16</v>
      </c>
      <c r="S10" s="5" t="n">
        <v>2.696856330173625e-15</v>
      </c>
      <c r="T10" s="5" t="n">
        <v>7.487296200055669e-16</v>
      </c>
      <c r="U10" s="5" t="n">
        <v>5.90621350754979e-16</v>
      </c>
      <c r="V10" s="5" t="n">
        <v>6.192432609605576e-15</v>
      </c>
      <c r="W10" s="5" t="n">
        <v>-5.772572638709891e-15</v>
      </c>
      <c r="X10" s="5" t="n">
        <v>-1.682912437805011e-16</v>
      </c>
      <c r="Y10" s="5" t="n">
        <v>-2.515687271151847e-16</v>
      </c>
    </row>
    <row r="11">
      <c r="A11" s="6" t="inlineStr">
        <is>
          <t>XPM0</t>
        </is>
      </c>
      <c r="B11" s="6" t="inlineStr">
        <is>
          <t>PMOS</t>
        </is>
      </c>
      <c r="C11" s="9" t="n">
        <v>1</v>
      </c>
      <c r="D11" s="9" t="n">
        <v>4.967443885712859e-15</v>
      </c>
      <c r="E11" s="9" t="n">
        <v>-3.04971734013713e-15</v>
      </c>
      <c r="F11" s="9" t="n">
        <v>-7.143857213095888e-19</v>
      </c>
      <c r="G11" s="9" t="n">
        <v>-1.917012159854419e-15</v>
      </c>
      <c r="H11" s="9" t="n">
        <v>-1.175084430294298e-15</v>
      </c>
      <c r="I11" s="9" t="n">
        <v>1.006912247029173e-18</v>
      </c>
      <c r="J11" s="9" t="n">
        <v>1.486874677196072e-15</v>
      </c>
      <c r="K11" s="9" t="n">
        <v>-3.127971591488035e-16</v>
      </c>
      <c r="L11" s="9" t="n">
        <v>-1.759339011541893e-15</v>
      </c>
      <c r="M11" s="9" t="n">
        <v>2.614391086201501e-19</v>
      </c>
      <c r="N11" s="9" t="n">
        <v>2.22727967862949e-15</v>
      </c>
      <c r="O11" s="9" t="n">
        <v>-4.682021061962184e-16</v>
      </c>
      <c r="P11" s="9" t="n">
        <v>-2.033020443876668e-15</v>
      </c>
      <c r="Q11" s="9" t="n">
        <v>-5.539656343397342e-19</v>
      </c>
      <c r="R11" s="9" t="n">
        <v>-6.644370156884326e-16</v>
      </c>
      <c r="S11" s="9" t="n">
        <v>2.698011425199441e-15</v>
      </c>
      <c r="T11" s="9" t="n">
        <v>6.874608312164536e-16</v>
      </c>
      <c r="U11" s="9" t="n">
        <v>5.906213507555285e-16</v>
      </c>
      <c r="V11" s="9" t="n">
        <v>6.121263831320114e-15</v>
      </c>
      <c r="W11" s="9" t="n">
        <v>-5.744598757639393e-15</v>
      </c>
      <c r="X11" s="9" t="n">
        <v>-1.50821615288471e-16</v>
      </c>
      <c r="Y11" s="9" t="n">
        <v>-2.258434583922498e-16</v>
      </c>
    </row>
    <row r="12">
      <c r="A12" s="2" t="inlineStr">
        <is>
          <t>XNM6</t>
        </is>
      </c>
      <c r="B12" s="2" t="inlineStr">
        <is>
          <t>NMOS</t>
        </is>
      </c>
      <c r="C12" s="5" t="n">
        <v>1</v>
      </c>
      <c r="D12" s="5" t="n">
        <v>3.161524536685884e-14</v>
      </c>
      <c r="E12" s="5" t="n">
        <v>-1.644110147855109e-14</v>
      </c>
      <c r="F12" s="5" t="n">
        <v>-1.370639252648611e-14</v>
      </c>
      <c r="G12" s="5" t="n">
        <v>-1.467751361821644e-15</v>
      </c>
      <c r="H12" s="5" t="n">
        <v>-1.515192815068086e-14</v>
      </c>
      <c r="I12" s="5" t="n">
        <v>1.527645208630575e-14</v>
      </c>
      <c r="J12" s="5" t="n">
        <v>2.891855784417794e-15</v>
      </c>
      <c r="K12" s="5" t="n">
        <v>-3.016379720042686e-15</v>
      </c>
      <c r="L12" s="5" t="n">
        <v>-1.539068405818929e-14</v>
      </c>
      <c r="M12" s="5" t="n">
        <v>7.116622277078253e-15</v>
      </c>
      <c r="N12" s="5" t="n">
        <v>1.145346776671694e-14</v>
      </c>
      <c r="O12" s="5" t="n">
        <v>-3.179405985605895e-15</v>
      </c>
      <c r="P12" s="5" t="n">
        <v>-1.072633157988693e-15</v>
      </c>
      <c r="Q12" s="5" t="n">
        <v>-8.686681836897891e-15</v>
      </c>
      <c r="R12" s="5" t="n">
        <v>2.095777927416359e-15</v>
      </c>
      <c r="S12" s="5" t="n">
        <v>7.663537067470225e-15</v>
      </c>
      <c r="T12" s="5" t="n">
        <v>8.487995638734743e-16</v>
      </c>
      <c r="U12" s="5" t="n">
        <v>7.284790874086589e-16</v>
      </c>
      <c r="V12" s="5" t="n">
        <v>2.04866331646794e-14</v>
      </c>
      <c r="W12" s="5" t="n">
        <v>-1.152729302791221e-14</v>
      </c>
      <c r="X12" s="5" t="n">
        <v>-4.279887270571235e-15</v>
      </c>
      <c r="Y12" s="5" t="n">
        <v>-4.679452866195954e-15</v>
      </c>
    </row>
    <row r="13">
      <c r="A13" s="6" t="inlineStr">
        <is>
          <t>XNM5</t>
        </is>
      </c>
      <c r="B13" s="6" t="inlineStr">
        <is>
          <t>NMOS</t>
        </is>
      </c>
      <c r="C13" s="9" t="n">
        <v>1</v>
      </c>
      <c r="D13" s="9" t="n">
        <v>2.451078988584749e-14</v>
      </c>
      <c r="E13" s="9" t="n">
        <v>-2.210621468413613e-14</v>
      </c>
      <c r="F13" s="9" t="n">
        <v>-2.811280104474484e-17</v>
      </c>
      <c r="G13" s="9" t="n">
        <v>-2.376462400666611e-15</v>
      </c>
      <c r="H13" s="9" t="n">
        <v>-7.94100175634456e-15</v>
      </c>
      <c r="I13" s="9" t="n">
        <v>3.561273746244883e-17</v>
      </c>
      <c r="J13" s="9" t="n">
        <v>9.559785617994125e-15</v>
      </c>
      <c r="K13" s="9" t="n">
        <v>-1.654396599112014e-15</v>
      </c>
      <c r="L13" s="9" t="n">
        <v>-1.185425375925368e-14</v>
      </c>
      <c r="M13" s="9" t="n">
        <v>9.613686279296318e-18</v>
      </c>
      <c r="N13" s="9" t="n">
        <v>1.430976030233357e-14</v>
      </c>
      <c r="O13" s="9" t="n">
        <v>-2.465120229359178e-15</v>
      </c>
      <c r="P13" s="9" t="n">
        <v>-4.715534370249243e-15</v>
      </c>
      <c r="Q13" s="9" t="n">
        <v>-1.711362269700031e-17</v>
      </c>
      <c r="R13" s="9" t="n">
        <v>-1.763331236191559e-15</v>
      </c>
      <c r="S13" s="9" t="n">
        <v>6.495979229137802e-15</v>
      </c>
      <c r="T13" s="9" t="n">
        <v>5.623333686012109e-16</v>
      </c>
      <c r="U13" s="9" t="n">
        <v>8.487995638766157e-16</v>
      </c>
      <c r="V13" s="9" t="n">
        <v>1.806696546887755e-14</v>
      </c>
      <c r="W13" s="9" t="n">
        <v>-1.246550792413358e-14</v>
      </c>
      <c r="X13" s="9" t="n">
        <v>-2.24471556530982e-15</v>
      </c>
      <c r="Y13" s="9" t="n">
        <v>-3.356741979434147e-15</v>
      </c>
    </row>
    <row r="14">
      <c r="A14" s="2" t="inlineStr">
        <is>
          <t>XNM4</t>
        </is>
      </c>
      <c r="B14" s="2" t="inlineStr">
        <is>
          <t>NMOS</t>
        </is>
      </c>
      <c r="C14" s="5" t="n">
        <v>1</v>
      </c>
      <c r="D14" s="5" t="n">
        <v>2.202322398729542e-14</v>
      </c>
      <c r="E14" s="5" t="n">
        <v>-1.865911565093145e-14</v>
      </c>
      <c r="F14" s="5" t="n">
        <v>-2.276102478590341e-17</v>
      </c>
      <c r="G14" s="5" t="n">
        <v>-3.341347311578072e-15</v>
      </c>
      <c r="H14" s="5" t="n">
        <v>-6.825251188327398e-15</v>
      </c>
      <c r="I14" s="5" t="n">
        <v>2.994093067271456e-17</v>
      </c>
      <c r="J14" s="5" t="n">
        <v>8.21122200780578e-15</v>
      </c>
      <c r="K14" s="5" t="n">
        <v>-1.415911750151096e-15</v>
      </c>
      <c r="L14" s="5" t="n">
        <v>-1.018937784137275e-14</v>
      </c>
      <c r="M14" s="5" t="n">
        <v>8.041718600773225e-18</v>
      </c>
      <c r="N14" s="5" t="n">
        <v>1.229341631533434e-14</v>
      </c>
      <c r="O14" s="5" t="n">
        <v>-2.112080192562362e-15</v>
      </c>
      <c r="P14" s="5" t="n">
        <v>-5.008594957595275e-15</v>
      </c>
      <c r="Q14" s="5" t="n">
        <v>-1.522162448758437e-17</v>
      </c>
      <c r="R14" s="5" t="n">
        <v>-1.845522672208672e-15</v>
      </c>
      <c r="S14" s="5" t="n">
        <v>6.869339254291531e-15</v>
      </c>
      <c r="T14" s="5" t="n">
        <v>1.197124812993567e-15</v>
      </c>
      <c r="U14" s="5" t="n">
        <v>1.464613977681388e-15</v>
      </c>
      <c r="V14" s="5" t="n">
        <v>1.562789484010797e-14</v>
      </c>
      <c r="W14" s="5" t="n">
        <v>-1.139450118160127e-14</v>
      </c>
      <c r="X14" s="5" t="n">
        <v>-1.696706805300768e-15</v>
      </c>
      <c r="Y14" s="5" t="n">
        <v>-2.536686853205931e-15</v>
      </c>
    </row>
    <row r="15">
      <c r="A15" s="6" t="inlineStr">
        <is>
          <t>XNM3</t>
        </is>
      </c>
      <c r="B15" s="6" t="inlineStr">
        <is>
          <t>NMOS</t>
        </is>
      </c>
      <c r="C15" s="9" t="n">
        <v>2</v>
      </c>
      <c r="D15" s="9" t="n">
        <v>4.745168246853458e-14</v>
      </c>
      <c r="E15" s="9" t="n">
        <v>-3.470505390741697e-14</v>
      </c>
      <c r="F15" s="9" t="n">
        <v>-6.73921702800648e-15</v>
      </c>
      <c r="G15" s="9" t="n">
        <v>-6.007411533111137e-15</v>
      </c>
      <c r="H15" s="9" t="n">
        <v>-1.784839843654852e-14</v>
      </c>
      <c r="I15" s="9" t="n">
        <v>8.218476676560637e-15</v>
      </c>
      <c r="J15" s="9" t="n">
        <v>1.335624510742435e-14</v>
      </c>
      <c r="K15" s="9" t="n">
        <v>-3.726323347436465e-15</v>
      </c>
      <c r="L15" s="9" t="n">
        <v>-2.185304481916267e-14</v>
      </c>
      <c r="M15" s="9" t="n">
        <v>3.007604177097459e-15</v>
      </c>
      <c r="N15" s="9" t="n">
        <v>2.338441697600798e-14</v>
      </c>
      <c r="O15" s="9" t="n">
        <v>-4.538976333942766e-15</v>
      </c>
      <c r="P15" s="9" t="n">
        <v>-7.75023921282339e-15</v>
      </c>
      <c r="Q15" s="9" t="n">
        <v>-4.486863825651616e-15</v>
      </c>
      <c r="R15" s="9" t="n">
        <v>-2.035608176015361e-15</v>
      </c>
      <c r="S15" s="9" t="n">
        <v>1.427271121449037e-14</v>
      </c>
      <c r="T15" s="9" t="n">
        <v>3.197243717895136e-15</v>
      </c>
      <c r="U15" s="9" t="n">
        <v>2.929227955353852e-15</v>
      </c>
      <c r="V15" s="9" t="n">
        <v>3.161891137709413e-14</v>
      </c>
      <c r="W15" s="9" t="n">
        <v>-2.254719473552763e-14</v>
      </c>
      <c r="X15" s="9" t="n">
        <v>-3.848057846801448e-15</v>
      </c>
      <c r="Y15" s="9" t="n">
        <v>-5.223658794765059e-15</v>
      </c>
    </row>
    <row r="16">
      <c r="A16" s="2" t="inlineStr">
        <is>
          <t>XNM2</t>
        </is>
      </c>
      <c r="B16" s="2" t="inlineStr">
        <is>
          <t>NMOS</t>
        </is>
      </c>
      <c r="C16" s="5" t="n">
        <v>2</v>
      </c>
      <c r="D16" s="5" t="n">
        <v>4.761341442026239e-14</v>
      </c>
      <c r="E16" s="5" t="n">
        <v>-3.451472415091871e-14</v>
      </c>
      <c r="F16" s="5" t="n">
        <v>-7.123527082905289e-15</v>
      </c>
      <c r="G16" s="5" t="n">
        <v>-5.975163186438392e-15</v>
      </c>
      <c r="H16" s="5" t="n">
        <v>-1.804077080378581e-14</v>
      </c>
      <c r="I16" s="5" t="n">
        <v>8.670576389487466e-15</v>
      </c>
      <c r="J16" s="5" t="n">
        <v>1.313802884060674e-14</v>
      </c>
      <c r="K16" s="5" t="n">
        <v>-3.767834426308396e-15</v>
      </c>
      <c r="L16" s="5" t="n">
        <v>-2.193007879319097e-14</v>
      </c>
      <c r="M16" s="5" t="n">
        <v>3.19567428603934e-15</v>
      </c>
      <c r="N16" s="5" t="n">
        <v>2.329002272715145e-14</v>
      </c>
      <c r="O16" s="5" t="n">
        <v>-4.555618219999819e-15</v>
      </c>
      <c r="P16" s="5" t="n">
        <v>-7.64256482328561e-15</v>
      </c>
      <c r="Q16" s="5" t="n">
        <v>-4.742723592621517e-15</v>
      </c>
      <c r="R16" s="5" t="n">
        <v>-1.91332741683948e-15</v>
      </c>
      <c r="S16" s="5" t="n">
        <v>1.429861583274661e-14</v>
      </c>
      <c r="T16" s="5" t="n">
        <v>3.204952820840109e-15</v>
      </c>
      <c r="U16" s="5" t="n">
        <v>2.92922795535379e-15</v>
      </c>
      <c r="V16" s="5" t="n">
        <v>3.163796575388132e-14</v>
      </c>
      <c r="W16" s="5" t="n">
        <v>-2.253450864423276e-14</v>
      </c>
      <c r="X16" s="5" t="n">
        <v>-3.871272378026396e-15</v>
      </c>
      <c r="Y16" s="5" t="n">
        <v>-5.232184731622168e-15</v>
      </c>
    </row>
    <row r="17">
      <c r="A17" s="6" t="inlineStr">
        <is>
          <t>XNM1</t>
        </is>
      </c>
      <c r="B17" s="6" t="inlineStr">
        <is>
          <t>NMOS</t>
        </is>
      </c>
      <c r="C17" s="9" t="n">
        <v>1</v>
      </c>
      <c r="D17" s="9" t="n">
        <v>4.106256084203283e-14</v>
      </c>
      <c r="E17" s="9" t="n">
        <v>-3.413486985990792e-14</v>
      </c>
      <c r="F17" s="9" t="n">
        <v>-8.140157117419379e-18</v>
      </c>
      <c r="G17" s="9" t="n">
        <v>-6.919550825007486e-15</v>
      </c>
      <c r="H17" s="9" t="n">
        <v>-1.250127159384322e-14</v>
      </c>
      <c r="I17" s="9" t="n">
        <v>1.084242330704102e-17</v>
      </c>
      <c r="J17" s="9" t="n">
        <v>1.490004356046876e-14</v>
      </c>
      <c r="K17" s="9" t="n">
        <v>-2.409614389932575e-15</v>
      </c>
      <c r="L17" s="9" t="n">
        <v>-1.872415862170404e-14</v>
      </c>
      <c r="M17" s="9" t="n">
        <v>2.681879973078329e-18</v>
      </c>
      <c r="N17" s="9" t="n">
        <v>2.232953377158073e-14</v>
      </c>
      <c r="O17" s="9" t="n">
        <v>-3.608057029849774e-15</v>
      </c>
      <c r="P17" s="9" t="n">
        <v>-9.837130626485571e-15</v>
      </c>
      <c r="Q17" s="9" t="n">
        <v>-5.384146162699974e-18</v>
      </c>
      <c r="R17" s="9" t="n">
        <v>-3.094707472141564e-15</v>
      </c>
      <c r="S17" s="9" t="n">
        <v>1.293722224478984e-14</v>
      </c>
      <c r="T17" s="9" t="n">
        <v>1.941369839855561e-15</v>
      </c>
      <c r="U17" s="9" t="n">
        <v>3.205600004266935e-15</v>
      </c>
      <c r="V17" s="9" t="n">
        <v>3.125374922810238e-14</v>
      </c>
      <c r="W17" s="9" t="n">
        <v>-2.422526048206485e-14</v>
      </c>
      <c r="X17" s="9" t="n">
        <v>-2.813423970197561e-15</v>
      </c>
      <c r="Y17" s="9" t="n">
        <v>-4.21506477583997e-15</v>
      </c>
    </row>
    <row r="18">
      <c r="A18" s="2" t="inlineStr">
        <is>
          <t>XNM0</t>
        </is>
      </c>
      <c r="B18" s="2" t="inlineStr">
        <is>
          <t>NMOS</t>
        </is>
      </c>
      <c r="C18" s="5" t="n">
        <v>1</v>
      </c>
      <c r="D18" s="5" t="n">
        <v>4.13084422198233e-14</v>
      </c>
      <c r="E18" s="5" t="n">
        <v>-3.441069420329162e-14</v>
      </c>
      <c r="F18" s="5" t="n">
        <v>-2.070933518932785e-17</v>
      </c>
      <c r="G18" s="5" t="n">
        <v>-6.877038681342352e-15</v>
      </c>
      <c r="H18" s="5" t="n">
        <v>-1.261686709420673e-14</v>
      </c>
      <c r="I18" s="5" t="n">
        <v>2.70933869159012e-17</v>
      </c>
      <c r="J18" s="5" t="n">
        <v>1.502442295119392e-14</v>
      </c>
      <c r="K18" s="5" t="n">
        <v>-2.434649243903094e-15</v>
      </c>
      <c r="L18" s="5" t="n">
        <v>-1.887126295136246e-14</v>
      </c>
      <c r="M18" s="5" t="n">
        <v>7.069100001829067e-18</v>
      </c>
      <c r="N18" s="5" t="n">
        <v>2.250397009162048e-14</v>
      </c>
      <c r="O18" s="5" t="n">
        <v>-3.639776240259856e-15</v>
      </c>
      <c r="P18" s="5" t="n">
        <v>-9.820312174254109e-15</v>
      </c>
      <c r="Q18" s="5" t="n">
        <v>-1.345315172840242e-17</v>
      </c>
      <c r="R18" s="5" t="n">
        <v>-3.117698839522791e-15</v>
      </c>
      <c r="S18" s="5" t="n">
        <v>1.29514641655053e-14</v>
      </c>
      <c r="T18" s="5" t="n">
        <v>2.137466504807441e-15</v>
      </c>
      <c r="U18" s="5" t="n">
        <v>3.21332925564812e-15</v>
      </c>
      <c r="V18" s="5" t="n">
        <v>3.135054121767193e-14</v>
      </c>
      <c r="W18" s="5" t="n">
        <v>-2.42150489676776e-14</v>
      </c>
      <c r="X18" s="5" t="n">
        <v>-2.85793021552008e-15</v>
      </c>
      <c r="Y18" s="5" t="n">
        <v>-4.277562034474244e-15</v>
      </c>
    </row>
    <row r="20">
      <c r="A20" t="inlineStr">
        <is>
          <t>Native BSIM capacitance/charge matrix. Preserve signs of cross terms.</t>
        </is>
      </c>
    </row>
  </sheetData>
  <autoFilter ref="A1:Y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4" customWidth="1" min="3" max="3"/>
  </cols>
  <sheetData>
    <row r="1" ht="34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DC_Gain_dB</t>
        </is>
      </c>
      <c r="B2" s="5" t="n">
        <v>41.2732</v>
      </c>
      <c r="C2" s="2" t="inlineStr">
        <is>
          <t>dB</t>
        </is>
      </c>
    </row>
    <row r="3">
      <c r="A3" s="6" t="inlineStr">
        <is>
          <t>UGF_Hz</t>
        </is>
      </c>
      <c r="B3" s="9" t="n">
        <v>9929120</v>
      </c>
      <c r="C3" s="6" t="inlineStr">
        <is>
          <t>Hz</t>
        </is>
      </c>
    </row>
    <row r="4">
      <c r="A4" s="2" t="inlineStr">
        <is>
          <t>Phase_Margin_deg</t>
        </is>
      </c>
      <c r="B4" s="5" t="n">
        <v>88.136</v>
      </c>
      <c r="C4" s="2" t="inlineStr">
        <is>
          <t>deg</t>
        </is>
      </c>
    </row>
    <row r="5">
      <c r="A5" s="6" t="inlineStr">
        <is>
          <t>CMRR_dB</t>
        </is>
      </c>
      <c r="B5" s="9" t="n">
        <v>69.9883</v>
      </c>
      <c r="C5" s="6" t="inlineStr">
        <is>
          <t>dB</t>
        </is>
      </c>
    </row>
    <row r="6">
      <c r="A6" s="2" t="inlineStr">
        <is>
          <t>PSRR_Plus_dB</t>
        </is>
      </c>
      <c r="B6" s="5" t="n">
        <v>42.5855</v>
      </c>
      <c r="C6" s="2" t="inlineStr">
        <is>
          <t>dB</t>
        </is>
      </c>
    </row>
    <row r="7">
      <c r="A7" s="6" t="inlineStr">
        <is>
          <t>PSRR_Minus_dB</t>
        </is>
      </c>
      <c r="B7" s="9" t="n">
        <v>61.6911</v>
      </c>
      <c r="C7" s="6" t="inlineStr">
        <is>
          <t>dB</t>
        </is>
      </c>
    </row>
    <row r="8">
      <c r="A8" s="2" t="inlineStr">
        <is>
          <t>Slew_Rise_V_us</t>
        </is>
      </c>
      <c r="B8" s="5" t="n">
        <v>6.18967</v>
      </c>
      <c r="C8" s="2" t="inlineStr">
        <is>
          <t>V/us</t>
        </is>
      </c>
    </row>
    <row r="9">
      <c r="A9" s="6" t="inlineStr">
        <is>
          <t>Slew_Fall_V_us</t>
        </is>
      </c>
      <c r="B9" s="9" t="n">
        <v>6.84957</v>
      </c>
      <c r="C9" s="6" t="inlineStr">
        <is>
          <t>V/us</t>
        </is>
      </c>
    </row>
    <row r="10">
      <c r="A10" s="2" t="inlineStr">
        <is>
          <t>Power_Quiescent_uW</t>
        </is>
      </c>
      <c r="B10" s="5" t="n">
        <v>74.6536</v>
      </c>
      <c r="C10" s="2" t="inlineStr">
        <is>
          <t>uW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8" customWidth="1" min="3" max="3"/>
    <col width="14" customWidth="1" min="4" max="4"/>
    <col width="100" customWidth="1" min="5" max="5"/>
  </cols>
  <sheetData>
    <row r="1" ht="34" customHeight="1">
      <c r="A1" s="1" t="inlineStr">
        <is>
          <t>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Notes</t>
        </is>
      </c>
    </row>
    <row r="2">
      <c r="A2" s="2" t="inlineStr">
        <is>
          <t>DC snapshot</t>
        </is>
      </c>
      <c r="B2" s="2" t="inlineStr">
        <is>
          <t>Instance</t>
        </is>
      </c>
      <c r="C2" s="2" t="inlineStr">
        <is>
          <t>XDUT_CM</t>
        </is>
      </c>
      <c r="D2" s="2" t="inlineStr"/>
      <c r="E2" s="2" t="inlineStr">
        <is>
          <t>Quiet voltage follower; same instance as quiescent power</t>
        </is>
      </c>
    </row>
    <row r="3">
      <c r="A3" s="6" t="inlineStr">
        <is>
          <t>DC snapshot</t>
        </is>
      </c>
      <c r="B3" s="6" t="inlineStr">
        <is>
          <t>VINP_actual</t>
        </is>
      </c>
      <c r="C3" s="9" t="n">
        <v>0.72</v>
      </c>
      <c r="D3" s="6" t="inlineStr">
        <is>
          <t>V</t>
        </is>
      </c>
      <c r="E3" s="6" t="inlineStr">
        <is>
          <t>Actual node voltage, not the requested target</t>
        </is>
      </c>
    </row>
    <row r="4">
      <c r="A4" s="2" t="inlineStr">
        <is>
          <t>DC snapshot</t>
        </is>
      </c>
      <c r="B4" s="2" t="inlineStr">
        <is>
          <t>VINN_actual</t>
        </is>
      </c>
      <c r="C4" s="5" t="n">
        <v>0.7217347118789599</v>
      </c>
      <c r="D4" s="2" t="inlineStr">
        <is>
          <t>V</t>
        </is>
      </c>
      <c r="E4" s="2" t="inlineStr">
        <is>
          <t>Feedback input may differ from VINP at an unhealthy point</t>
        </is>
      </c>
    </row>
    <row r="5">
      <c r="A5" s="6" t="inlineStr">
        <is>
          <t>DC snapshot</t>
        </is>
      </c>
      <c r="B5" s="6" t="inlineStr">
        <is>
          <t>VOUT_actual</t>
        </is>
      </c>
      <c r="C5" s="9" t="n">
        <v>0.7217347118789599</v>
      </c>
      <c r="D5" s="6" t="inlineStr">
        <is>
          <t>V</t>
        </is>
      </c>
      <c r="E5" s="6" t="inlineStr">
        <is>
          <t>Actual solved DC output</t>
        </is>
      </c>
    </row>
    <row r="6">
      <c r="A6" s="2" t="inlineStr">
        <is>
          <t>DC snapshot</t>
        </is>
      </c>
      <c r="B6" s="2" t="inlineStr">
        <is>
          <t>Follower_error</t>
        </is>
      </c>
      <c r="C6" s="5" t="n">
        <v>0.001734711878959905</v>
      </c>
      <c r="D6" s="2" t="inlineStr">
        <is>
          <t>V</t>
        </is>
      </c>
      <c r="E6" s="2" t="inlineStr">
        <is>
          <t>VOUT minus VINP; signed</t>
        </is>
      </c>
    </row>
    <row r="7">
      <c r="A7" s="6" t="inlineStr">
        <is>
          <t>DC snapshot</t>
        </is>
      </c>
      <c r="B7" s="6" t="inlineStr">
        <is>
          <t>DM_CM_bias_difference</t>
        </is>
      </c>
      <c r="C7" s="9" t="n">
        <v>-2.59015031645049e-13</v>
      </c>
      <c r="D7" s="6" t="inlineStr">
        <is>
          <t>V</t>
        </is>
      </c>
      <c r="E7" s="6" t="inlineStr">
        <is>
          <t>OUT_DM minus OUT_CM</t>
        </is>
      </c>
    </row>
    <row r="8">
      <c r="A8" s="2" t="inlineStr">
        <is>
          <t>DC snapshot</t>
        </is>
      </c>
      <c r="B8" s="2" t="inlineStr">
        <is>
          <t>Power_Quiescent</t>
        </is>
      </c>
      <c r="C8" s="5" t="n">
        <v>74.65363310048788</v>
      </c>
      <c r="D8" s="2" t="inlineStr">
        <is>
          <t>uW</t>
        </is>
      </c>
      <c r="E8" s="2" t="inlineStr">
        <is>
          <t>One DUT instance only</t>
        </is>
      </c>
    </row>
    <row r="9">
      <c r="A9" s="6" t="inlineStr">
        <is>
          <t>Test condition</t>
        </is>
      </c>
      <c r="B9" s="6" t="inlineStr">
        <is>
          <t>SUPPLY_VDD</t>
        </is>
      </c>
      <c r="C9" s="9" t="n">
        <v>1.8</v>
      </c>
      <c r="D9" s="6" t="inlineStr">
        <is>
          <t>V</t>
        </is>
      </c>
      <c r="E9" s="6" t="inlineStr"/>
    </row>
    <row r="10">
      <c r="A10" s="2" t="inlineStr">
        <is>
          <t>Test condition</t>
        </is>
      </c>
      <c r="B10" s="2" t="inlineStr">
        <is>
          <t>SUPPLY_VSS</t>
        </is>
      </c>
      <c r="C10" s="5" t="n">
        <v>0</v>
      </c>
      <c r="D10" s="2" t="inlineStr">
        <is>
          <t>V</t>
        </is>
      </c>
      <c r="E10" s="2" t="inlineStr"/>
    </row>
    <row r="11">
      <c r="A11" s="6" t="inlineStr">
        <is>
          <t>Test condition</t>
        </is>
      </c>
      <c r="B11" s="6" t="inlineStr">
        <is>
          <t>INPUT_VCM</t>
        </is>
      </c>
      <c r="C11" s="9" t="n">
        <v>0.7200000000000001</v>
      </c>
      <c r="D11" s="6" t="inlineStr">
        <is>
          <t>V</t>
        </is>
      </c>
      <c r="E11" s="6" t="inlineStr"/>
    </row>
    <row r="12">
      <c r="A12" s="2" t="inlineStr">
        <is>
          <t>Test condition</t>
        </is>
      </c>
      <c r="B12" s="2" t="inlineStr">
        <is>
          <t>LOAD_C</t>
        </is>
      </c>
      <c r="C12" s="5" t="n">
        <v>1e-12</v>
      </c>
      <c r="D12" s="2" t="inlineStr">
        <is>
          <t>F</t>
        </is>
      </c>
      <c r="E12" s="2" t="inlineStr"/>
    </row>
    <row r="13">
      <c r="A13" s="6" t="inlineStr">
        <is>
          <t>Test condition</t>
        </is>
      </c>
      <c r="B13" s="6" t="inlineStr">
        <is>
          <t>AC_DENSITY</t>
        </is>
      </c>
      <c r="C13" s="9" t="n">
        <v>100</v>
      </c>
      <c r="D13" s="6" t="inlineStr">
        <is>
          <t>points/dec</t>
        </is>
      </c>
      <c r="E13" s="6" t="inlineStr"/>
    </row>
    <row r="14">
      <c r="A14" s="2" t="inlineStr">
        <is>
          <t>Test condition</t>
        </is>
      </c>
      <c r="B14" s="2" t="inlineStr">
        <is>
          <t>AC_START_HZ</t>
        </is>
      </c>
      <c r="C14" s="5" t="n">
        <v>0.1</v>
      </c>
      <c r="D14" s="2" t="inlineStr">
        <is>
          <t>Hz</t>
        </is>
      </c>
      <c r="E14" s="2" t="inlineStr"/>
    </row>
    <row r="15">
      <c r="A15" s="6" t="inlineStr">
        <is>
          <t>Test condition</t>
        </is>
      </c>
      <c r="B15" s="6" t="inlineStr">
        <is>
          <t>AC_STOP_HZ</t>
        </is>
      </c>
      <c r="C15" s="9" t="n">
        <v>50000000000</v>
      </c>
      <c r="D15" s="6" t="inlineStr">
        <is>
          <t>Hz</t>
        </is>
      </c>
      <c r="E15" s="6" t="inlineStr"/>
    </row>
    <row r="16">
      <c r="A16" s="2" t="inlineStr">
        <is>
          <t>Test condition</t>
        </is>
      </c>
      <c r="B16" s="2" t="inlineStr">
        <is>
          <t>REF_HZ</t>
        </is>
      </c>
      <c r="C16" s="5" t="n">
        <v>1</v>
      </c>
      <c r="D16" s="2" t="inlineStr">
        <is>
          <t>Hz</t>
        </is>
      </c>
      <c r="E16" s="2" t="inlineStr"/>
    </row>
    <row r="17">
      <c r="A17" s="6" t="inlineStr">
        <is>
          <t>Test condition</t>
        </is>
      </c>
      <c r="B17" s="6" t="inlineStr">
        <is>
          <t>SR_LOW</t>
        </is>
      </c>
      <c r="C17" s="9" t="n">
        <v>0.7000000000000001</v>
      </c>
      <c r="D17" s="6" t="inlineStr">
        <is>
          <t>V</t>
        </is>
      </c>
      <c r="E17" s="6" t="inlineStr"/>
    </row>
    <row r="18">
      <c r="A18" s="2" t="inlineStr">
        <is>
          <t>Test condition</t>
        </is>
      </c>
      <c r="B18" s="2" t="inlineStr">
        <is>
          <t>SR_HIGH</t>
        </is>
      </c>
      <c r="C18" s="5" t="n">
        <v>1.1</v>
      </c>
      <c r="D18" s="2" t="inlineStr">
        <is>
          <t>V</t>
        </is>
      </c>
      <c r="E18" s="2" t="inlineStr"/>
    </row>
    <row r="19">
      <c r="A19" s="6" t="inlineStr">
        <is>
          <t>Test condition</t>
        </is>
      </c>
      <c r="B19" s="6" t="inlineStr">
        <is>
          <t>TEMP</t>
        </is>
      </c>
      <c r="C19" s="9" t="n">
        <v>27</v>
      </c>
      <c r="D19" s="6" t="inlineStr">
        <is>
          <t>degC</t>
        </is>
      </c>
      <c r="E19" s="6" t="inlineStr"/>
    </row>
    <row r="20">
      <c r="A20" s="2" t="inlineStr">
        <is>
          <t>Test condition</t>
        </is>
      </c>
      <c r="B20" s="2" t="inlineStr">
        <is>
          <t>PDK_PATH</t>
        </is>
      </c>
      <c r="C20" s="2" t="inlineStr">
        <is>
          <t>/share/home/202411094934/python_project/pdk/sky130A/libs.tech/ngspice/sky130.lib.spice</t>
        </is>
      </c>
      <c r="D20" s="2" t="inlineStr"/>
      <c r="E20" s="2" t="inlineStr">
        <is>
          <t>Model library used for this run</t>
        </is>
      </c>
    </row>
    <row r="21">
      <c r="A21" s="6" t="inlineStr">
        <is>
          <t>Test condition</t>
        </is>
      </c>
      <c r="B21" s="6" t="inlineStr">
        <is>
          <t>CORNER</t>
        </is>
      </c>
      <c r="C21" s="6" t="inlineStr">
        <is>
          <t>tt</t>
        </is>
      </c>
      <c r="D21" s="6" t="inlineStr"/>
      <c r="E21" s="6" t="inlineStr"/>
    </row>
    <row r="22">
      <c r="A22" s="2" t="inlineStr">
        <is>
          <t>Design parameter</t>
        </is>
      </c>
      <c r="B22" s="2" t="inlineStr">
        <is>
          <t>DESVAR_W1</t>
        </is>
      </c>
      <c r="C22" s="5" t="n">
        <v>5</v>
      </c>
      <c r="D22" s="2" t="inlineStr">
        <is>
          <t>um</t>
        </is>
      </c>
      <c r="E22" s="2" t="inlineStr">
        <is>
          <t>Resolved numeric value</t>
        </is>
      </c>
    </row>
    <row r="23">
      <c r="A23" s="6" t="inlineStr">
        <is>
          <t>Design parameter</t>
        </is>
      </c>
      <c r="B23" s="6" t="inlineStr">
        <is>
          <t>DESVAR_L1</t>
        </is>
      </c>
      <c r="C23" s="9" t="n">
        <v>0.5</v>
      </c>
      <c r="D23" s="6" t="inlineStr">
        <is>
          <t>um</t>
        </is>
      </c>
      <c r="E23" s="6" t="inlineStr">
        <is>
          <t>Resolved numeric value</t>
        </is>
      </c>
    </row>
    <row r="24">
      <c r="A24" s="2" t="inlineStr">
        <is>
          <t>Design parameter</t>
        </is>
      </c>
      <c r="B24" s="2" t="inlineStr">
        <is>
          <t>DESVAR_W2</t>
        </is>
      </c>
      <c r="C24" s="5" t="n">
        <v>10</v>
      </c>
      <c r="D24" s="2" t="inlineStr">
        <is>
          <t>um</t>
        </is>
      </c>
      <c r="E24" s="2" t="inlineStr">
        <is>
          <t>Resolved numeric value</t>
        </is>
      </c>
    </row>
    <row r="25">
      <c r="A25" s="6" t="inlineStr">
        <is>
          <t>Design parameter</t>
        </is>
      </c>
      <c r="B25" s="6" t="inlineStr">
        <is>
          <t>DESVAR_L2</t>
        </is>
      </c>
      <c r="C25" s="9" t="n">
        <v>0.5</v>
      </c>
      <c r="D25" s="6" t="inlineStr">
        <is>
          <t>um</t>
        </is>
      </c>
      <c r="E25" s="6" t="inlineStr">
        <is>
          <t>Resolved numeric value</t>
        </is>
      </c>
    </row>
    <row r="26">
      <c r="A26" s="2" t="inlineStr">
        <is>
          <t>Design parameter</t>
        </is>
      </c>
      <c r="B26" s="2" t="inlineStr">
        <is>
          <t>DESVAR_W3</t>
        </is>
      </c>
      <c r="C26" s="5" t="n">
        <v>5</v>
      </c>
      <c r="D26" s="2" t="inlineStr">
        <is>
          <t>um</t>
        </is>
      </c>
      <c r="E26" s="2" t="inlineStr">
        <is>
          <t>Resolved numeric value</t>
        </is>
      </c>
    </row>
    <row r="27">
      <c r="A27" s="6" t="inlineStr">
        <is>
          <t>Design parameter</t>
        </is>
      </c>
      <c r="B27" s="6" t="inlineStr">
        <is>
          <t>DESVAR_L3</t>
        </is>
      </c>
      <c r="C27" s="9" t="n">
        <v>1</v>
      </c>
      <c r="D27" s="6" t="inlineStr">
        <is>
          <t>um</t>
        </is>
      </c>
      <c r="E27" s="6" t="inlineStr">
        <is>
          <t>Resolved numeric value</t>
        </is>
      </c>
    </row>
    <row r="28">
      <c r="A28" s="2" t="inlineStr">
        <is>
          <t>Design parameter</t>
        </is>
      </c>
      <c r="B28" s="2" t="inlineStr">
        <is>
          <t>DESVAR_W4</t>
        </is>
      </c>
      <c r="C28" s="5" t="n">
        <v>10</v>
      </c>
      <c r="D28" s="2" t="inlineStr">
        <is>
          <t>um</t>
        </is>
      </c>
      <c r="E28" s="2" t="inlineStr">
        <is>
          <t>Resolved numeric value</t>
        </is>
      </c>
    </row>
    <row r="29">
      <c r="A29" s="6" t="inlineStr">
        <is>
          <t>Design parameter</t>
        </is>
      </c>
      <c r="B29" s="6" t="inlineStr">
        <is>
          <t>DESVAR_L4</t>
        </is>
      </c>
      <c r="C29" s="9" t="n">
        <v>0.5</v>
      </c>
      <c r="D29" s="6" t="inlineStr">
        <is>
          <t>um</t>
        </is>
      </c>
      <c r="E29" s="6" t="inlineStr">
        <is>
          <t>Resolved numeric value</t>
        </is>
      </c>
    </row>
    <row r="30">
      <c r="A30" s="2" t="inlineStr">
        <is>
          <t>Design parameter</t>
        </is>
      </c>
      <c r="B30" s="2" t="inlineStr">
        <is>
          <t>DESVAR_W5</t>
        </is>
      </c>
      <c r="C30" s="5" t="n">
        <v>20</v>
      </c>
      <c r="D30" s="2" t="inlineStr">
        <is>
          <t>um</t>
        </is>
      </c>
      <c r="E30" s="2" t="inlineStr">
        <is>
          <t>Resolved numeric value</t>
        </is>
      </c>
    </row>
    <row r="31">
      <c r="A31" s="6" t="inlineStr">
        <is>
          <t>Design parameter</t>
        </is>
      </c>
      <c r="B31" s="6" t="inlineStr">
        <is>
          <t>DESVAR_L5</t>
        </is>
      </c>
      <c r="C31" s="9" t="n">
        <v>0.5</v>
      </c>
      <c r="D31" s="6" t="inlineStr">
        <is>
          <t>um</t>
        </is>
      </c>
      <c r="E31" s="6" t="inlineStr">
        <is>
          <t>Resolved numeric value</t>
        </is>
      </c>
    </row>
    <row r="32">
      <c r="A32" s="2" t="inlineStr">
        <is>
          <t>Design parameter</t>
        </is>
      </c>
      <c r="B32" s="2" t="inlineStr">
        <is>
          <t>DESVAR_W6</t>
        </is>
      </c>
      <c r="C32" s="5" t="n">
        <v>4</v>
      </c>
      <c r="D32" s="2" t="inlineStr">
        <is>
          <t>um</t>
        </is>
      </c>
      <c r="E32" s="2" t="inlineStr">
        <is>
          <t>Resolved numeric value</t>
        </is>
      </c>
    </row>
    <row r="33">
      <c r="A33" s="6" t="inlineStr">
        <is>
          <t>Design parameter</t>
        </is>
      </c>
      <c r="B33" s="6" t="inlineStr">
        <is>
          <t>DESVAR_L6</t>
        </is>
      </c>
      <c r="C33" s="9" t="n">
        <v>0.35</v>
      </c>
      <c r="D33" s="6" t="inlineStr">
        <is>
          <t>um</t>
        </is>
      </c>
      <c r="E33" s="6" t="inlineStr">
        <is>
          <t>Resolved numeric value</t>
        </is>
      </c>
    </row>
    <row r="34">
      <c r="A34" s="2" t="inlineStr">
        <is>
          <t>Design parameter</t>
        </is>
      </c>
      <c r="B34" s="2" t="inlineStr">
        <is>
          <t>DESVAR_W7</t>
        </is>
      </c>
      <c r="C34" s="5" t="n">
        <v>3</v>
      </c>
      <c r="D34" s="2" t="inlineStr">
        <is>
          <t>um</t>
        </is>
      </c>
      <c r="E34" s="2" t="inlineStr">
        <is>
          <t>Resolved numeric value</t>
        </is>
      </c>
    </row>
    <row r="35">
      <c r="A35" s="6" t="inlineStr">
        <is>
          <t>Design parameter</t>
        </is>
      </c>
      <c r="B35" s="6" t="inlineStr">
        <is>
          <t>DESVAR_L7</t>
        </is>
      </c>
      <c r="C35" s="9" t="n">
        <v>0.35</v>
      </c>
      <c r="D35" s="6" t="inlineStr">
        <is>
          <t>um</t>
        </is>
      </c>
      <c r="E35" s="6" t="inlineStr">
        <is>
          <t>Resolved numeric value</t>
        </is>
      </c>
    </row>
    <row r="36">
      <c r="A36" s="2" t="inlineStr">
        <is>
          <t>Design parameter</t>
        </is>
      </c>
      <c r="B36" s="2" t="inlineStr">
        <is>
          <t>DESVAR_M0</t>
        </is>
      </c>
      <c r="C36" s="5" t="n">
        <v>1</v>
      </c>
      <c r="D36" s="2" t="inlineStr">
        <is>
          <t>count</t>
        </is>
      </c>
      <c r="E36" s="2" t="inlineStr">
        <is>
          <t>Resolved numeric value</t>
        </is>
      </c>
    </row>
    <row r="37">
      <c r="A37" s="6" t="inlineStr">
        <is>
          <t>Design parameter</t>
        </is>
      </c>
      <c r="B37" s="6" t="inlineStr">
        <is>
          <t>DESVAR_M1</t>
        </is>
      </c>
      <c r="C37" s="9" t="n">
        <v>1</v>
      </c>
      <c r="D37" s="6" t="inlineStr">
        <is>
          <t>count</t>
        </is>
      </c>
      <c r="E37" s="6" t="inlineStr">
        <is>
          <t>Resolved numeric value</t>
        </is>
      </c>
    </row>
    <row r="38">
      <c r="A38" s="2" t="inlineStr">
        <is>
          <t>Design parameter</t>
        </is>
      </c>
      <c r="B38" s="2" t="inlineStr">
        <is>
          <t>DESVAR_M2</t>
        </is>
      </c>
      <c r="C38" s="5" t="n">
        <v>1</v>
      </c>
      <c r="D38" s="2" t="inlineStr">
        <is>
          <t>count</t>
        </is>
      </c>
      <c r="E38" s="2" t="inlineStr">
        <is>
          <t>Resolved numeric value</t>
        </is>
      </c>
    </row>
    <row r="39">
      <c r="A39" s="6" t="inlineStr">
        <is>
          <t>Design parameter</t>
        </is>
      </c>
      <c r="B39" s="6" t="inlineStr">
        <is>
          <t>IBIAS_A</t>
        </is>
      </c>
      <c r="C39" s="9" t="n">
        <v>5e-06</v>
      </c>
      <c r="D39" s="6" t="inlineStr">
        <is>
          <t>A</t>
        </is>
      </c>
      <c r="E39" s="6" t="inlineStr">
        <is>
          <t>Resolved numeric value</t>
        </is>
      </c>
    </row>
    <row r="40">
      <c r="A40" s="2" t="inlineStr">
        <is>
          <t>Definition</t>
        </is>
      </c>
      <c r="B40" s="2" t="inlineStr">
        <is>
          <t>VGS_V / VDS_V / VBS_V</t>
        </is>
      </c>
      <c r="C40" s="2" t="inlineStr">
        <is>
          <t>Terminal node differences</t>
        </is>
      </c>
      <c r="D40" s="2" t="inlineStr">
        <is>
          <t>V</t>
        </is>
      </c>
      <c r="E40" s="2" t="inlineStr">
        <is>
          <t>Signed; PMOS VGS/VDS normally negative</t>
        </is>
      </c>
    </row>
    <row r="41">
      <c r="A41" s="6" t="inlineStr">
        <is>
          <t>Definition</t>
        </is>
      </c>
      <c r="B41" s="6" t="inlineStr">
        <is>
          <t>Id_model_A / gm_S / gds_S</t>
        </is>
      </c>
      <c r="C41" s="6" t="inlineStr">
        <is>
          <t>Native ngspice BSIM values</t>
        </is>
      </c>
      <c r="D41" s="6" t="inlineStr"/>
      <c r="E41" s="6" t="inlineStr">
        <is>
          <t>Already include M; no extra multiplication</t>
        </is>
      </c>
    </row>
    <row r="42">
      <c r="A42" s="2" t="inlineStr">
        <is>
          <t>Definition</t>
        </is>
      </c>
      <c r="B42" s="2" t="inlineStr">
        <is>
          <t>Capacitances</t>
        </is>
      </c>
      <c r="C42" s="2" t="inlineStr">
        <is>
          <t>Native BSIM charge-derivative matrix</t>
        </is>
      </c>
      <c r="D42" s="2" t="inlineStr">
        <is>
          <t>F</t>
        </is>
      </c>
      <c r="E42" s="2" t="inlineStr">
        <is>
          <t>Preserve signed off-diagonal terms; not all entries are positive lumped capacitors</t>
        </is>
      </c>
    </row>
    <row r="43">
      <c r="A43" s="6" t="inlineStr">
        <is>
          <t>Definition</t>
        </is>
      </c>
      <c r="B43" s="6" t="inlineStr">
        <is>
          <t>Saturation_margin_V</t>
        </is>
      </c>
      <c r="C43" s="6" t="inlineStr">
        <is>
          <t>VDS_oriented minus abs(Vdsat_model)</t>
        </is>
      </c>
      <c r="D43" s="6" t="inlineStr">
        <is>
          <t>V</t>
        </is>
      </c>
      <c r="E43" s="6" t="inlineStr">
        <is>
          <t>Diagnostic only; not an unconditional operating-region classifier</t>
        </is>
      </c>
    </row>
    <row r="44">
      <c r="A44" s="2" t="inlineStr">
        <is>
          <t>Definition</t>
        </is>
      </c>
      <c r="B44" s="2" t="inlineStr">
        <is>
          <t>Vov_est_V</t>
        </is>
      </c>
      <c r="C44" s="2" t="inlineStr">
        <is>
          <t>Oriented VGS minus abs(Vth_model)</t>
        </is>
      </c>
      <c r="D44" s="2" t="inlineStr">
        <is>
          <t>V</t>
        </is>
      </c>
      <c r="E44" s="2" t="inlineStr">
        <is>
          <t>Diagnostic only; negative overdrive can occur in weak inversion</t>
        </is>
      </c>
    </row>
    <row r="45">
      <c r="A45" s="6" t="inlineStr">
        <is>
          <t>Definition</t>
        </is>
      </c>
      <c r="B45" s="6" t="inlineStr">
        <is>
          <t>Missing metric</t>
        </is>
      </c>
      <c r="C45" s="6" t="inlineStr">
        <is>
          <t>nan</t>
        </is>
      </c>
      <c r="D45" s="6" t="inlineStr"/>
      <c r="E45" s="6" t="inlineStr">
        <is>
          <t>No fabricated zero; valid negative metrics are retained</t>
        </is>
      </c>
    </row>
    <row r="46">
      <c r="A46" s="2" t="inlineStr">
        <is>
          <t>Definition</t>
        </is>
      </c>
      <c r="B46" s="2" t="inlineStr">
        <is>
          <t>Transient initial point</t>
        </is>
      </c>
      <c r="C46" s="2" t="inlineStr">
        <is>
          <t>Separate from the quiet DC snapshot</t>
        </is>
      </c>
      <c r="D46" s="2" t="inlineStr"/>
      <c r="E46" s="2" t="inlineStr">
        <is>
          <t>Pulse starts at SR_LOW; no transient transistor states are exported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2026-10-10T10:14:50Z</dcterms:created>
  <dcterms:modified xsi:type="dcterms:W3CDTF">2026-10-10T10:14:50Z</dcterms:modified>
</cp:coreProperties>
</file>