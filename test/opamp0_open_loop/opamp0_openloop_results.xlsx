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C_Operating_Point" sheetId="1" state="visible" r:id="rId1"/>
    <sheet name="MOS_Capacitances" sheetId="2" state="visible" r:id="rId2"/>
    <sheet name="Metrics" sheetId="3" state="visible" r:id="rId3"/>
    <sheet name="Setup" sheetId="4" state="visible" r:id="rId4"/>
  </sheets>
  <definedNames>
    <definedName name="_xlnm._FilterDatabase" localSheetId="0" hidden="1">'DC_Operating_Point'!$A$1:$AC$18</definedName>
    <definedName name="_xlnm._FilterDatabase" localSheetId="1" hidden="1">'MOS_Capacitances'!$A$1:$Y$18</definedName>
    <definedName name="_xlnm._FilterDatabase" localSheetId="2" hidden="1">'Metrics'!$A$1:$C$10</definedName>
    <definedName name="_xlnm._FilterDatabase" localSheetId="3" hidden="1">'Setup'!$A$1:$E$55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E+00"/>
    <numFmt numFmtId="165" formatCode="0.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172B4D"/>
      <sz val="10"/>
    </font>
  </fonts>
  <fills count="4">
    <fill>
      <patternFill/>
    </fill>
    <fill>
      <patternFill patternType="gray125"/>
    </fill>
    <fill>
      <patternFill patternType="solid">
        <fgColor rgb="00253B55"/>
      </patternFill>
    </fill>
    <fill>
      <patternFill patternType="solid">
        <fgColor rgb="00F3F6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165" fontId="2" fillId="3" borderId="0" applyAlignment="1" pivotButton="0" quotePrefix="0" xfId="0">
      <alignment horizontal="right" vertical="center"/>
    </xf>
    <xf numFmtId="1" fontId="2" fillId="3" borderId="0" applyAlignment="1" pivotButton="0" quotePrefix="0" xfId="0">
      <alignment horizontal="right" vertical="center"/>
    </xf>
    <xf numFmtId="164" fontId="2" fillId="3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165" fontId="2" fillId="0" borderId="0" applyAlignment="1" pivotButton="0" quotePrefix="0" xfId="0">
      <alignment horizontal="right" vertical="center"/>
    </xf>
    <xf numFmtId="1" fontId="2" fillId="0" borderId="0" applyAlignment="1" pivotButton="0" quotePrefix="0" xfId="0">
      <alignment horizontal="right" vertical="center"/>
    </xf>
    <xf numFmtId="164" fontId="2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0"/>
  <sheetViews>
    <sheetView showGridLines="0" workbookViewId="0">
      <pane xSplit="7" ySplit="1" topLeftCell="H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32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8" customWidth="1" min="24" max="24"/>
    <col width="16" customWidth="1" min="25" max="25"/>
    <col width="16" customWidth="1" min="26" max="26"/>
    <col width="16" customWidth="1" min="27" max="27"/>
    <col width="16" customWidth="1" min="28" max="28"/>
    <col width="21" customWidth="1" min="29" max="29"/>
  </cols>
  <sheetData>
    <row r="1" ht="34" customHeight="1">
      <c r="A1" s="1" t="inlineStr">
        <is>
          <t>Device</t>
        </is>
      </c>
      <c r="B1" s="1" t="inlineStr">
        <is>
          <t>MOS_Type</t>
        </is>
      </c>
      <c r="C1" s="1" t="inlineStr">
        <is>
          <t>Model</t>
        </is>
      </c>
      <c r="D1" s="1" t="inlineStr">
        <is>
          <t>D_Node</t>
        </is>
      </c>
      <c r="E1" s="1" t="inlineStr">
        <is>
          <t>G_Node</t>
        </is>
      </c>
      <c r="F1" s="1" t="inlineStr">
        <is>
          <t>S_Node</t>
        </is>
      </c>
      <c r="G1" s="1" t="inlineStr">
        <is>
          <t>B_Node</t>
        </is>
      </c>
      <c r="H1" s="1" t="inlineStr">
        <is>
          <t>W_um</t>
        </is>
      </c>
      <c r="I1" s="1" t="inlineStr">
        <is>
          <t>L_um</t>
        </is>
      </c>
      <c r="J1" s="1" t="inlineStr">
        <is>
          <t>M</t>
        </is>
      </c>
      <c r="K1" s="1" t="inlineStr">
        <is>
          <t>VD_V</t>
        </is>
      </c>
      <c r="L1" s="1" t="inlineStr">
        <is>
          <t>VG_V</t>
        </is>
      </c>
      <c r="M1" s="1" t="inlineStr">
        <is>
          <t>VS_V</t>
        </is>
      </c>
      <c r="N1" s="1" t="inlineStr">
        <is>
          <t>VB_V</t>
        </is>
      </c>
      <c r="O1" s="1" t="inlineStr">
        <is>
          <t>VGS_V</t>
        </is>
      </c>
      <c r="P1" s="1" t="inlineStr">
        <is>
          <t>VDS_V</t>
        </is>
      </c>
      <c r="Q1" s="1" t="inlineStr">
        <is>
          <t>VBS_V</t>
        </is>
      </c>
      <c r="R1" s="1" t="inlineStr">
        <is>
          <t>Id_model_A</t>
        </is>
      </c>
      <c r="S1" s="1" t="inlineStr">
        <is>
          <t>gm_S</t>
        </is>
      </c>
      <c r="T1" s="1" t="inlineStr">
        <is>
          <t>gds_S</t>
        </is>
      </c>
      <c r="U1" s="1" t="inlineStr">
        <is>
          <t>gmbs_S</t>
        </is>
      </c>
      <c r="V1" s="1" t="inlineStr">
        <is>
          <t>Vth_model_V</t>
        </is>
      </c>
      <c r="W1" s="1" t="inlineStr">
        <is>
          <t>Vdsat_model_V</t>
        </is>
      </c>
      <c r="X1" s="1" t="inlineStr">
        <is>
          <t>gm_over_Id_per_V</t>
        </is>
      </c>
      <c r="Y1" s="1" t="inlineStr">
        <is>
          <t>gm_over_gds</t>
        </is>
      </c>
      <c r="Z1" s="1" t="inlineStr">
        <is>
          <t>ro_Ohm</t>
        </is>
      </c>
      <c r="AA1" s="1" t="inlineStr">
        <is>
          <t>VDS_oriented_V</t>
        </is>
      </c>
      <c r="AB1" s="1" t="inlineStr">
        <is>
          <t>Vov_est_V</t>
        </is>
      </c>
      <c r="AC1" s="1" t="inlineStr">
        <is>
          <t>Saturation_margin_V</t>
        </is>
      </c>
    </row>
    <row r="2">
      <c r="A2" s="2" t="inlineStr">
        <is>
          <t>XPM9</t>
        </is>
      </c>
      <c r="B2" s="2" t="inlineStr">
        <is>
          <t>PMOS</t>
        </is>
      </c>
      <c r="C2" s="2" t="inlineStr">
        <is>
          <t>sky130_fd_pr__pfet_01v8</t>
        </is>
      </c>
      <c r="D2" s="2" t="inlineStr">
        <is>
          <t>VB2</t>
        </is>
      </c>
      <c r="E2" s="2" t="inlineStr">
        <is>
          <t>NET1</t>
        </is>
      </c>
      <c r="F2" s="2" t="inlineStr">
        <is>
          <t>VDD</t>
        </is>
      </c>
      <c r="G2" s="2" t="inlineStr">
        <is>
          <t>VDD</t>
        </is>
      </c>
      <c r="H2" s="3" t="n">
        <v>5</v>
      </c>
      <c r="I2" s="3" t="n">
        <v>0.5</v>
      </c>
      <c r="J2" s="4" t="n">
        <v>1</v>
      </c>
      <c r="K2" s="5" t="n">
        <v>0.6626340592003807</v>
      </c>
      <c r="L2" s="5" t="n">
        <v>0.7379079262057655</v>
      </c>
      <c r="M2" s="5" t="n">
        <v>1.8</v>
      </c>
      <c r="N2" s="5" t="n">
        <v>1.8</v>
      </c>
      <c r="O2" s="5" t="n">
        <v>-1.062092073794235</v>
      </c>
      <c r="P2" s="5" t="n">
        <v>-1.13736594079962</v>
      </c>
      <c r="Q2" s="5" t="n">
        <v>0</v>
      </c>
      <c r="R2" s="5" t="n">
        <v>5.03578158783836e-06</v>
      </c>
      <c r="S2" s="5" t="n">
        <v>6.583478710559e-05</v>
      </c>
      <c r="T2" s="5" t="n">
        <v>4.704664888300189e-07</v>
      </c>
      <c r="U2" s="5" t="n">
        <v>1.69762914508954e-05</v>
      </c>
      <c r="V2" s="5" t="n">
        <v>0.9811214193659307</v>
      </c>
      <c r="W2" s="5" t="n">
        <v>0.1255818671630237</v>
      </c>
      <c r="X2" s="5">
        <f>IF(ABS(R2)&gt;0,ABS(S2)/ABS(R2),"nan")</f>
        <v/>
      </c>
      <c r="Y2" s="5">
        <f>IF(ABS(T2)&gt;0,ABS(S2)/ABS(T2),"nan")</f>
        <v/>
      </c>
      <c r="Z2" s="5">
        <f>IF(ABS(T2)&gt;0,1/ABS(T2),"nan")</f>
        <v/>
      </c>
      <c r="AA2" s="5">
        <f>IF(B2="PMOS",-P2,P2)</f>
        <v/>
      </c>
      <c r="AB2" s="5">
        <f>IF(B2="PMOS",-O2,O2)-ABS(V2)</f>
        <v/>
      </c>
      <c r="AC2" s="5">
        <f>AA2-ABS(W2)</f>
        <v/>
      </c>
    </row>
    <row r="3">
      <c r="A3" s="6" t="inlineStr">
        <is>
          <t>XPM8</t>
        </is>
      </c>
      <c r="B3" s="6" t="inlineStr">
        <is>
          <t>PMOS</t>
        </is>
      </c>
      <c r="C3" s="6" t="inlineStr">
        <is>
          <t>sky130_fd_pr__pfet_01v8</t>
        </is>
      </c>
      <c r="D3" s="6" t="inlineStr">
        <is>
          <t>VB3</t>
        </is>
      </c>
      <c r="E3" s="6" t="inlineStr">
        <is>
          <t>NET1</t>
        </is>
      </c>
      <c r="F3" s="6" t="inlineStr">
        <is>
          <t>VDD</t>
        </is>
      </c>
      <c r="G3" s="6" t="inlineStr">
        <is>
          <t>VDD</t>
        </is>
      </c>
      <c r="H3" s="7" t="n">
        <v>5</v>
      </c>
      <c r="I3" s="7" t="n">
        <v>0.5</v>
      </c>
      <c r="J3" s="8" t="n">
        <v>1</v>
      </c>
      <c r="K3" s="9" t="n">
        <v>0.6486399237365607</v>
      </c>
      <c r="L3" s="9" t="n">
        <v>0.7379079262057655</v>
      </c>
      <c r="M3" s="9" t="n">
        <v>1.8</v>
      </c>
      <c r="N3" s="9" t="n">
        <v>1.8</v>
      </c>
      <c r="O3" s="9" t="n">
        <v>-1.062092073794235</v>
      </c>
      <c r="P3" s="9" t="n">
        <v>-1.15136007626344</v>
      </c>
      <c r="Q3" s="9" t="n">
        <v>0</v>
      </c>
      <c r="R3" s="9" t="n">
        <v>5.042353318308527e-06</v>
      </c>
      <c r="S3" s="9" t="n">
        <v>6.590764196859526e-05</v>
      </c>
      <c r="T3" s="9" t="n">
        <v>4.687530601049347e-07</v>
      </c>
      <c r="U3" s="9" t="n">
        <v>1.699467087590734e-05</v>
      </c>
      <c r="V3" s="9" t="n">
        <v>0.9810680568441277</v>
      </c>
      <c r="W3" s="9" t="n">
        <v>0.125616469562305</v>
      </c>
      <c r="X3" s="9">
        <f>IF(ABS(R3)&gt;0,ABS(S3)/ABS(R3),"nan")</f>
        <v/>
      </c>
      <c r="Y3" s="9">
        <f>IF(ABS(T3)&gt;0,ABS(S3)/ABS(T3),"nan")</f>
        <v/>
      </c>
      <c r="Z3" s="9">
        <f>IF(ABS(T3)&gt;0,1/ABS(T3),"nan")</f>
        <v/>
      </c>
      <c r="AA3" s="9">
        <f>IF(B3="PMOS",-P3,P3)</f>
        <v/>
      </c>
      <c r="AB3" s="9">
        <f>IF(B3="PMOS",-O3,O3)-ABS(V3)</f>
        <v/>
      </c>
      <c r="AC3" s="9">
        <f>AA3-ABS(W3)</f>
        <v/>
      </c>
    </row>
    <row r="4">
      <c r="A4" s="2" t="inlineStr">
        <is>
          <t>XPM7</t>
        </is>
      </c>
      <c r="B4" s="2" t="inlineStr">
        <is>
          <t>PMOS</t>
        </is>
      </c>
      <c r="C4" s="2" t="inlineStr">
        <is>
          <t>sky130_fd_pr__pfet_01v8</t>
        </is>
      </c>
      <c r="D4" s="2" t="inlineStr">
        <is>
          <t>NET1</t>
        </is>
      </c>
      <c r="E4" s="2" t="inlineStr">
        <is>
          <t>NET1</t>
        </is>
      </c>
      <c r="F4" s="2" t="inlineStr">
        <is>
          <t>VDD</t>
        </is>
      </c>
      <c r="G4" s="2" t="inlineStr">
        <is>
          <t>VDD</t>
        </is>
      </c>
      <c r="H4" s="3" t="n">
        <v>5</v>
      </c>
      <c r="I4" s="3" t="n">
        <v>0.5</v>
      </c>
      <c r="J4" s="4" t="n">
        <v>1</v>
      </c>
      <c r="K4" s="5" t="n">
        <v>0.7379079262057655</v>
      </c>
      <c r="L4" s="5" t="n">
        <v>0.7379079262057655</v>
      </c>
      <c r="M4" s="5" t="n">
        <v>1.8</v>
      </c>
      <c r="N4" s="5" t="n">
        <v>1.8</v>
      </c>
      <c r="O4" s="5" t="n">
        <v>-1.062092073794235</v>
      </c>
      <c r="P4" s="5" t="n">
        <v>-1.062092073794235</v>
      </c>
      <c r="Q4" s="5" t="n">
        <v>0</v>
      </c>
      <c r="R4" s="5" t="n">
        <v>4.999998888999659e-06</v>
      </c>
      <c r="S4" s="5" t="n">
        <v>6.543608888034213e-05</v>
      </c>
      <c r="T4" s="5" t="n">
        <v>4.805102673717225e-07</v>
      </c>
      <c r="U4" s="5" t="n">
        <v>1.687565271310306e-05</v>
      </c>
      <c r="V4" s="5" t="n">
        <v>0.9814084541297141</v>
      </c>
      <c r="W4" s="5" t="n">
        <v>0.1253958478724573</v>
      </c>
      <c r="X4" s="5">
        <f>IF(ABS(R4)&gt;0,ABS(S4)/ABS(R4),"nan")</f>
        <v/>
      </c>
      <c r="Y4" s="5">
        <f>IF(ABS(T4)&gt;0,ABS(S4)/ABS(T4),"nan")</f>
        <v/>
      </c>
      <c r="Z4" s="5">
        <f>IF(ABS(T4)&gt;0,1/ABS(T4),"nan")</f>
        <v/>
      </c>
      <c r="AA4" s="5">
        <f>IF(B4="PMOS",-P4,P4)</f>
        <v/>
      </c>
      <c r="AB4" s="5">
        <f>IF(B4="PMOS",-O4,O4)-ABS(V4)</f>
        <v/>
      </c>
      <c r="AC4" s="5">
        <f>AA4-ABS(W4)</f>
        <v/>
      </c>
    </row>
    <row r="5">
      <c r="A5" s="6" t="inlineStr">
        <is>
          <t>XPM6</t>
        </is>
      </c>
      <c r="B5" s="6" t="inlineStr">
        <is>
          <t>PMOS</t>
        </is>
      </c>
      <c r="C5" s="6" t="inlineStr">
        <is>
          <t>sky130_fd_pr__pfet_01v8</t>
        </is>
      </c>
      <c r="D5" s="6" t="inlineStr">
        <is>
          <t>NET9</t>
        </is>
      </c>
      <c r="E5" s="6" t="inlineStr">
        <is>
          <t>NET1</t>
        </is>
      </c>
      <c r="F5" s="6" t="inlineStr">
        <is>
          <t>VDD</t>
        </is>
      </c>
      <c r="G5" s="6" t="inlineStr">
        <is>
          <t>VDD</t>
        </is>
      </c>
      <c r="H5" s="7" t="n">
        <v>5</v>
      </c>
      <c r="I5" s="7" t="n">
        <v>0.5</v>
      </c>
      <c r="J5" s="8" t="n">
        <v>2</v>
      </c>
      <c r="K5" s="9" t="n">
        <v>1.790782829941839</v>
      </c>
      <c r="L5" s="9" t="n">
        <v>0.7379079262057655</v>
      </c>
      <c r="M5" s="9" t="n">
        <v>1.8</v>
      </c>
      <c r="N5" s="9" t="n">
        <v>1.8</v>
      </c>
      <c r="O5" s="9" t="n">
        <v>-1.062092073794235</v>
      </c>
      <c r="P5" s="9" t="n">
        <v>-0.009217170058161139</v>
      </c>
      <c r="Q5" s="9" t="n">
        <v>0</v>
      </c>
      <c r="R5" s="9" t="n">
        <v>1.152843050331829e-06</v>
      </c>
      <c r="S5" s="9" t="n">
        <v>1.00353090047839e-05</v>
      </c>
      <c r="T5" s="9" t="n">
        <v>0.0001199426909707076</v>
      </c>
      <c r="U5" s="9" t="n">
        <v>2.657140058840035e-06</v>
      </c>
      <c r="V5" s="9" t="n">
        <v>0.985423283060239</v>
      </c>
      <c r="W5" s="9" t="n">
        <v>0.1228128501269668</v>
      </c>
      <c r="X5" s="9">
        <f>IF(ABS(R5)&gt;0,ABS(S5)/ABS(R5),"nan")</f>
        <v/>
      </c>
      <c r="Y5" s="9">
        <f>IF(ABS(T5)&gt;0,ABS(S5)/ABS(T5),"nan")</f>
        <v/>
      </c>
      <c r="Z5" s="9">
        <f>IF(ABS(T5)&gt;0,1/ABS(T5),"nan")</f>
        <v/>
      </c>
      <c r="AA5" s="9">
        <f>IF(B5="PMOS",-P5,P5)</f>
        <v/>
      </c>
      <c r="AB5" s="9">
        <f>IF(B5="PMOS",-O5,O5)-ABS(V5)</f>
        <v/>
      </c>
      <c r="AC5" s="9">
        <f>AA5-ABS(W5)</f>
        <v/>
      </c>
    </row>
    <row r="6">
      <c r="A6" s="2" t="inlineStr">
        <is>
          <t>XPM5</t>
        </is>
      </c>
      <c r="B6" s="2" t="inlineStr">
        <is>
          <t>PMOS</t>
        </is>
      </c>
      <c r="C6" s="2" t="inlineStr">
        <is>
          <t>sky130_fd_pr__pfet_01v8</t>
        </is>
      </c>
      <c r="D6" s="2" t="inlineStr">
        <is>
          <t>NET27</t>
        </is>
      </c>
      <c r="E6" s="2" t="inlineStr">
        <is>
          <t>VINN</t>
        </is>
      </c>
      <c r="F6" s="2" t="inlineStr">
        <is>
          <t>NET9</t>
        </is>
      </c>
      <c r="G6" s="2" t="inlineStr">
        <is>
          <t>VDD</t>
        </is>
      </c>
      <c r="H6" s="3" t="n">
        <v>10</v>
      </c>
      <c r="I6" s="3" t="n">
        <v>0.5</v>
      </c>
      <c r="J6" s="4" t="n">
        <v>1</v>
      </c>
      <c r="K6" s="5" t="n">
        <v>0.003796119977428833</v>
      </c>
      <c r="L6" s="5" t="n">
        <v>0.9</v>
      </c>
      <c r="M6" s="5" t="n">
        <v>1.790782829941839</v>
      </c>
      <c r="N6" s="5" t="n">
        <v>1.8</v>
      </c>
      <c r="O6" s="5" t="n">
        <v>-0.8907828299418389</v>
      </c>
      <c r="P6" s="5" t="n">
        <v>-1.78698670996441</v>
      </c>
      <c r="Q6" s="5" t="n">
        <v>0.009217170058161139</v>
      </c>
      <c r="R6" s="5" t="n">
        <v>5.764215482011475e-07</v>
      </c>
      <c r="S6" s="5" t="n">
        <v>9.980588126257619e-06</v>
      </c>
      <c r="T6" s="5" t="n">
        <v>5.467984656282795e-08</v>
      </c>
      <c r="U6" s="5" t="n">
        <v>2.702099277006649e-06</v>
      </c>
      <c r="V6" s="5" t="n">
        <v>0.9916591537856722</v>
      </c>
      <c r="W6" s="5" t="n">
        <v>0.05405689061184223</v>
      </c>
      <c r="X6" s="5">
        <f>IF(ABS(R6)&gt;0,ABS(S6)/ABS(R6),"nan")</f>
        <v/>
      </c>
      <c r="Y6" s="5">
        <f>IF(ABS(T6)&gt;0,ABS(S6)/ABS(T6),"nan")</f>
        <v/>
      </c>
      <c r="Z6" s="5">
        <f>IF(ABS(T6)&gt;0,1/ABS(T6),"nan")</f>
        <v/>
      </c>
      <c r="AA6" s="5">
        <f>IF(B6="PMOS",-P6,P6)</f>
        <v/>
      </c>
      <c r="AB6" s="5">
        <f>IF(B6="PMOS",-O6,O6)-ABS(V6)</f>
        <v/>
      </c>
      <c r="AC6" s="5">
        <f>AA6-ABS(W6)</f>
        <v/>
      </c>
    </row>
    <row r="7">
      <c r="A7" s="6" t="inlineStr">
        <is>
          <t>XPM4</t>
        </is>
      </c>
      <c r="B7" s="6" t="inlineStr">
        <is>
          <t>PMOS</t>
        </is>
      </c>
      <c r="C7" s="6" t="inlineStr">
        <is>
          <t>sky130_fd_pr__pfet_01v8</t>
        </is>
      </c>
      <c r="D7" s="6" t="inlineStr">
        <is>
          <t>NET24</t>
        </is>
      </c>
      <c r="E7" s="6" t="inlineStr">
        <is>
          <t>VINP</t>
        </is>
      </c>
      <c r="F7" s="6" t="inlineStr">
        <is>
          <t>NET9</t>
        </is>
      </c>
      <c r="G7" s="6" t="inlineStr">
        <is>
          <t>VDD</t>
        </is>
      </c>
      <c r="H7" s="7" t="n">
        <v>10</v>
      </c>
      <c r="I7" s="7" t="n">
        <v>0.5</v>
      </c>
      <c r="J7" s="8" t="n">
        <v>1</v>
      </c>
      <c r="K7" s="9" t="n">
        <v>0.003796119977428805</v>
      </c>
      <c r="L7" s="9" t="n">
        <v>0.9</v>
      </c>
      <c r="M7" s="9" t="n">
        <v>1.790782829941839</v>
      </c>
      <c r="N7" s="9" t="n">
        <v>1.8</v>
      </c>
      <c r="O7" s="9" t="n">
        <v>-0.8907828299418389</v>
      </c>
      <c r="P7" s="9" t="n">
        <v>-1.78698670996441</v>
      </c>
      <c r="Q7" s="9" t="n">
        <v>0.009217170058161139</v>
      </c>
      <c r="R7" s="9" t="n">
        <v>5.764215482011475e-07</v>
      </c>
      <c r="S7" s="9" t="n">
        <v>9.980588126257619e-06</v>
      </c>
      <c r="T7" s="9" t="n">
        <v>5.467984656282795e-08</v>
      </c>
      <c r="U7" s="9" t="n">
        <v>2.702099277006649e-06</v>
      </c>
      <c r="V7" s="9" t="n">
        <v>0.9916591537856722</v>
      </c>
      <c r="W7" s="9" t="n">
        <v>0.05405689061184223</v>
      </c>
      <c r="X7" s="9">
        <f>IF(ABS(R7)&gt;0,ABS(S7)/ABS(R7),"nan")</f>
        <v/>
      </c>
      <c r="Y7" s="9">
        <f>IF(ABS(T7)&gt;0,ABS(S7)/ABS(T7),"nan")</f>
        <v/>
      </c>
      <c r="Z7" s="9">
        <f>IF(ABS(T7)&gt;0,1/ABS(T7),"nan")</f>
        <v/>
      </c>
      <c r="AA7" s="9">
        <f>IF(B7="PMOS",-P7,P7)</f>
        <v/>
      </c>
      <c r="AB7" s="9">
        <f>IF(B7="PMOS",-O7,O7)-ABS(V7)</f>
        <v/>
      </c>
      <c r="AC7" s="9">
        <f>AA7-ABS(W7)</f>
        <v/>
      </c>
    </row>
    <row r="8">
      <c r="A8" s="2" t="inlineStr">
        <is>
          <t>XPM3</t>
        </is>
      </c>
      <c r="B8" s="2" t="inlineStr">
        <is>
          <t>PMOS</t>
        </is>
      </c>
      <c r="C8" s="2" t="inlineStr">
        <is>
          <t>sky130_fd_pr__pfet_01v8</t>
        </is>
      </c>
      <c r="D8" s="2" t="inlineStr">
        <is>
          <t>NET35</t>
        </is>
      </c>
      <c r="E8" s="2" t="inlineStr">
        <is>
          <t>NET18</t>
        </is>
      </c>
      <c r="F8" s="2" t="inlineStr">
        <is>
          <t>VDD</t>
        </is>
      </c>
      <c r="G8" s="2" t="inlineStr">
        <is>
          <t>VDD</t>
        </is>
      </c>
      <c r="H8" s="3" t="n">
        <v>20</v>
      </c>
      <c r="I8" s="3" t="n">
        <v>0.5</v>
      </c>
      <c r="J8" s="4" t="n">
        <v>1</v>
      </c>
      <c r="K8" s="5" t="n">
        <v>1.009692752985028</v>
      </c>
      <c r="L8" s="5" t="n">
        <v>1.009692752985027</v>
      </c>
      <c r="M8" s="5" t="n">
        <v>1.8</v>
      </c>
      <c r="N8" s="5" t="n">
        <v>1.8</v>
      </c>
      <c r="O8" s="5" t="n">
        <v>-0.790307247014973</v>
      </c>
      <c r="P8" s="5" t="n">
        <v>-0.7903072470149721</v>
      </c>
      <c r="Q8" s="5" t="n">
        <v>0</v>
      </c>
      <c r="R8" s="5" t="n">
        <v>1.722337274613004e-07</v>
      </c>
      <c r="S8" s="5" t="n">
        <v>3.246605689988977e-06</v>
      </c>
      <c r="T8" s="5" t="n">
        <v>2.218523746796548e-08</v>
      </c>
      <c r="U8" s="5" t="n">
        <v>8.976889520809455e-07</v>
      </c>
      <c r="V8" s="5" t="n">
        <v>0.9953668066024469</v>
      </c>
      <c r="W8" s="5" t="n">
        <v>0.0456401650535524</v>
      </c>
      <c r="X8" s="5">
        <f>IF(ABS(R8)&gt;0,ABS(S8)/ABS(R8),"nan")</f>
        <v/>
      </c>
      <c r="Y8" s="5">
        <f>IF(ABS(T8)&gt;0,ABS(S8)/ABS(T8),"nan")</f>
        <v/>
      </c>
      <c r="Z8" s="5">
        <f>IF(ABS(T8)&gt;0,1/ABS(T8),"nan")</f>
        <v/>
      </c>
      <c r="AA8" s="5">
        <f>IF(B8="PMOS",-P8,P8)</f>
        <v/>
      </c>
      <c r="AB8" s="5">
        <f>IF(B8="PMOS",-O8,O8)-ABS(V8)</f>
        <v/>
      </c>
      <c r="AC8" s="5">
        <f>AA8-ABS(W8)</f>
        <v/>
      </c>
    </row>
    <row r="9">
      <c r="A9" s="6" t="inlineStr">
        <is>
          <t>XPM2</t>
        </is>
      </c>
      <c r="B9" s="6" t="inlineStr">
        <is>
          <t>PMOS</t>
        </is>
      </c>
      <c r="C9" s="6" t="inlineStr">
        <is>
          <t>sky130_fd_pr__pfet_01v8</t>
        </is>
      </c>
      <c r="D9" s="6" t="inlineStr">
        <is>
          <t>NET18</t>
        </is>
      </c>
      <c r="E9" s="6" t="inlineStr">
        <is>
          <t>NET18</t>
        </is>
      </c>
      <c r="F9" s="6" t="inlineStr">
        <is>
          <t>VDD</t>
        </is>
      </c>
      <c r="G9" s="6" t="inlineStr">
        <is>
          <t>VDD</t>
        </is>
      </c>
      <c r="H9" s="7" t="n">
        <v>20</v>
      </c>
      <c r="I9" s="7" t="n">
        <v>0.5</v>
      </c>
      <c r="J9" s="8" t="n">
        <v>1</v>
      </c>
      <c r="K9" s="9" t="n">
        <v>1.009692752985027</v>
      </c>
      <c r="L9" s="9" t="n">
        <v>1.009692752985027</v>
      </c>
      <c r="M9" s="9" t="n">
        <v>1.8</v>
      </c>
      <c r="N9" s="9" t="n">
        <v>1.8</v>
      </c>
      <c r="O9" s="9" t="n">
        <v>-0.790307247014973</v>
      </c>
      <c r="P9" s="9" t="n">
        <v>-0.790307247014973</v>
      </c>
      <c r="Q9" s="9" t="n">
        <v>0</v>
      </c>
      <c r="R9" s="9" t="n">
        <v>1.722337274613004e-07</v>
      </c>
      <c r="S9" s="9" t="n">
        <v>3.246605689988977e-06</v>
      </c>
      <c r="T9" s="9" t="n">
        <v>2.218523746796548e-08</v>
      </c>
      <c r="U9" s="9" t="n">
        <v>8.976889520809455e-07</v>
      </c>
      <c r="V9" s="9" t="n">
        <v>0.9953668066024469</v>
      </c>
      <c r="W9" s="9" t="n">
        <v>0.0456401650535524</v>
      </c>
      <c r="X9" s="9">
        <f>IF(ABS(R9)&gt;0,ABS(S9)/ABS(R9),"nan")</f>
        <v/>
      </c>
      <c r="Y9" s="9">
        <f>IF(ABS(T9)&gt;0,ABS(S9)/ABS(T9),"nan")</f>
        <v/>
      </c>
      <c r="Z9" s="9">
        <f>IF(ABS(T9)&gt;0,1/ABS(T9),"nan")</f>
        <v/>
      </c>
      <c r="AA9" s="9">
        <f>IF(B9="PMOS",-P9,P9)</f>
        <v/>
      </c>
      <c r="AB9" s="9">
        <f>IF(B9="PMOS",-O9,O9)-ABS(V9)</f>
        <v/>
      </c>
      <c r="AC9" s="9">
        <f>AA9-ABS(W9)</f>
        <v/>
      </c>
    </row>
    <row r="10">
      <c r="A10" s="2" t="inlineStr">
        <is>
          <t>XPM1</t>
        </is>
      </c>
      <c r="B10" s="2" t="inlineStr">
        <is>
          <t>PMOS</t>
        </is>
      </c>
      <c r="C10" s="2" t="inlineStr">
        <is>
          <t>sky130_fd_pr__pfet_01v8</t>
        </is>
      </c>
      <c r="D10" s="2" t="inlineStr">
        <is>
          <t>NET34</t>
        </is>
      </c>
      <c r="E10" s="2" t="inlineStr">
        <is>
          <t>NET34</t>
        </is>
      </c>
      <c r="F10" s="2" t="inlineStr">
        <is>
          <t>NET18</t>
        </is>
      </c>
      <c r="G10" s="2" t="inlineStr">
        <is>
          <t>VDD</t>
        </is>
      </c>
      <c r="H10" s="3" t="n">
        <v>10</v>
      </c>
      <c r="I10" s="3" t="n">
        <v>0.5</v>
      </c>
      <c r="J10" s="4" t="n">
        <v>1</v>
      </c>
      <c r="K10" s="5" t="n">
        <v>0.005304439875720081</v>
      </c>
      <c r="L10" s="5" t="n">
        <v>0.005304439875720081</v>
      </c>
      <c r="M10" s="5" t="n">
        <v>1.009692752985027</v>
      </c>
      <c r="N10" s="5" t="n">
        <v>1.8</v>
      </c>
      <c r="O10" s="5" t="n">
        <v>-1.004388313109307</v>
      </c>
      <c r="P10" s="5" t="n">
        <v>-1.004388313109307</v>
      </c>
      <c r="Q10" s="5" t="n">
        <v>0.790307247014973</v>
      </c>
      <c r="R10" s="5" t="n">
        <v>1.722353281568606e-07</v>
      </c>
      <c r="S10" s="5" t="n">
        <v>3.136937022809522e-06</v>
      </c>
      <c r="T10" s="5" t="n">
        <v>2.058684406834938e-08</v>
      </c>
      <c r="U10" s="5" t="n">
        <v>6.123591100732695e-07</v>
      </c>
      <c r="V10" s="5" t="n">
        <v>1.163920203711808</v>
      </c>
      <c r="W10" s="5" t="n">
        <v>0.04991577594055137</v>
      </c>
      <c r="X10" s="5">
        <f>IF(ABS(R10)&gt;0,ABS(S10)/ABS(R10),"nan")</f>
        <v/>
      </c>
      <c r="Y10" s="5">
        <f>IF(ABS(T10)&gt;0,ABS(S10)/ABS(T10),"nan")</f>
        <v/>
      </c>
      <c r="Z10" s="5">
        <f>IF(ABS(T10)&gt;0,1/ABS(T10),"nan")</f>
        <v/>
      </c>
      <c r="AA10" s="5">
        <f>IF(B10="PMOS",-P10,P10)</f>
        <v/>
      </c>
      <c r="AB10" s="5">
        <f>IF(B10="PMOS",-O10,O10)-ABS(V10)</f>
        <v/>
      </c>
      <c r="AC10" s="5">
        <f>AA10-ABS(W10)</f>
        <v/>
      </c>
    </row>
    <row r="11">
      <c r="A11" s="6" t="inlineStr">
        <is>
          <t>XPM0</t>
        </is>
      </c>
      <c r="B11" s="6" t="inlineStr">
        <is>
          <t>PMOS</t>
        </is>
      </c>
      <c r="C11" s="6" t="inlineStr">
        <is>
          <t>sky130_fd_pr__pfet_01v8</t>
        </is>
      </c>
      <c r="D11" s="6" t="inlineStr">
        <is>
          <t>VOUT</t>
        </is>
      </c>
      <c r="E11" s="6" t="inlineStr">
        <is>
          <t>NET34</t>
        </is>
      </c>
      <c r="F11" s="6" t="inlineStr">
        <is>
          <t>NET35</t>
        </is>
      </c>
      <c r="G11" s="6" t="inlineStr">
        <is>
          <t>VDD</t>
        </is>
      </c>
      <c r="H11" s="7" t="n">
        <v>10</v>
      </c>
      <c r="I11" s="7" t="n">
        <v>0.5</v>
      </c>
      <c r="J11" s="8" t="n">
        <v>1</v>
      </c>
      <c r="K11" s="9" t="n">
        <v>0.005304439875720126</v>
      </c>
      <c r="L11" s="9" t="n">
        <v>0.005304439875720081</v>
      </c>
      <c r="M11" s="9" t="n">
        <v>1.009692752985028</v>
      </c>
      <c r="N11" s="9" t="n">
        <v>1.8</v>
      </c>
      <c r="O11" s="9" t="n">
        <v>-1.004388313109308</v>
      </c>
      <c r="P11" s="9" t="n">
        <v>-1.004388313109308</v>
      </c>
      <c r="Q11" s="9" t="n">
        <v>0.7903072470149721</v>
      </c>
      <c r="R11" s="9" t="n">
        <v>1.722353281568617e-07</v>
      </c>
      <c r="S11" s="9" t="n">
        <v>3.136937022809545e-06</v>
      </c>
      <c r="T11" s="9" t="n">
        <v>2.058684406834951e-08</v>
      </c>
      <c r="U11" s="9" t="n">
        <v>6.123591100732738e-07</v>
      </c>
      <c r="V11" s="9" t="n">
        <v>1.163920203711808</v>
      </c>
      <c r="W11" s="9" t="n">
        <v>0.04991577594055137</v>
      </c>
      <c r="X11" s="9">
        <f>IF(ABS(R11)&gt;0,ABS(S11)/ABS(R11),"nan")</f>
        <v/>
      </c>
      <c r="Y11" s="9">
        <f>IF(ABS(T11)&gt;0,ABS(S11)/ABS(T11),"nan")</f>
        <v/>
      </c>
      <c r="Z11" s="9">
        <f>IF(ABS(T11)&gt;0,1/ABS(T11),"nan")</f>
        <v/>
      </c>
      <c r="AA11" s="9">
        <f>IF(B11="PMOS",-P11,P11)</f>
        <v/>
      </c>
      <c r="AB11" s="9">
        <f>IF(B11="PMOS",-O11,O11)-ABS(V11)</f>
        <v/>
      </c>
      <c r="AC11" s="9">
        <f>AA11-ABS(W11)</f>
        <v/>
      </c>
    </row>
    <row r="12">
      <c r="A12" s="2" t="inlineStr">
        <is>
          <t>XNM6</t>
        </is>
      </c>
      <c r="B12" s="2" t="inlineStr">
        <is>
          <t>NMOS</t>
        </is>
      </c>
      <c r="C12" s="2" t="inlineStr">
        <is>
          <t>sky130_fd_pr__nfet_01v8</t>
        </is>
      </c>
      <c r="D12" s="2" t="inlineStr">
        <is>
          <t>NET2</t>
        </is>
      </c>
      <c r="E12" s="2" t="inlineStr">
        <is>
          <t>VB2</t>
        </is>
      </c>
      <c r="F12" s="2" t="inlineStr">
        <is>
          <t>VSS</t>
        </is>
      </c>
      <c r="G12" s="2" t="inlineStr">
        <is>
          <t>VSS</t>
        </is>
      </c>
      <c r="H12" s="3" t="n">
        <v>5</v>
      </c>
      <c r="I12" s="3" t="n">
        <v>0.5</v>
      </c>
      <c r="J12" s="4" t="n">
        <v>1</v>
      </c>
      <c r="K12" s="5" t="n">
        <v>0.0747538217250856</v>
      </c>
      <c r="L12" s="5" t="n">
        <v>0.6626340592003807</v>
      </c>
      <c r="M12" s="5" t="n">
        <v>0</v>
      </c>
      <c r="N12" s="5" t="n">
        <v>0</v>
      </c>
      <c r="O12" s="5" t="n">
        <v>0.6626340592003807</v>
      </c>
      <c r="P12" s="5" t="n">
        <v>0.0747538217250856</v>
      </c>
      <c r="Q12" s="5" t="n">
        <v>0</v>
      </c>
      <c r="R12" s="5" t="n">
        <v>5.035778529744509e-06</v>
      </c>
      <c r="S12" s="5" t="n">
        <v>8.533952863423367e-05</v>
      </c>
      <c r="T12" s="5" t="n">
        <v>2.347264614569686e-05</v>
      </c>
      <c r="U12" s="5" t="n">
        <v>1.84619451526947e-05</v>
      </c>
      <c r="V12" s="5" t="n">
        <v>0.6300126534824433</v>
      </c>
      <c r="W12" s="5" t="n">
        <v>0.07822435876916858</v>
      </c>
      <c r="X12" s="5">
        <f>IF(ABS(R12)&gt;0,ABS(S12)/ABS(R12),"nan")</f>
        <v/>
      </c>
      <c r="Y12" s="5">
        <f>IF(ABS(T12)&gt;0,ABS(S12)/ABS(T12),"nan")</f>
        <v/>
      </c>
      <c r="Z12" s="5">
        <f>IF(ABS(T12)&gt;0,1/ABS(T12),"nan")</f>
        <v/>
      </c>
      <c r="AA12" s="5">
        <f>IF(B12="PMOS",-P12,P12)</f>
        <v/>
      </c>
      <c r="AB12" s="5">
        <f>IF(B12="PMOS",-O12,O12)-ABS(V12)</f>
        <v/>
      </c>
      <c r="AC12" s="5">
        <f>AA12-ABS(W12)</f>
        <v/>
      </c>
    </row>
    <row r="13">
      <c r="A13" s="6" t="inlineStr">
        <is>
          <t>XNM5</t>
        </is>
      </c>
      <c r="B13" s="6" t="inlineStr">
        <is>
          <t>NMOS</t>
        </is>
      </c>
      <c r="C13" s="6" t="inlineStr">
        <is>
          <t>sky130_fd_pr__nfet_01v8</t>
        </is>
      </c>
      <c r="D13" s="6" t="inlineStr">
        <is>
          <t>VB2</t>
        </is>
      </c>
      <c r="E13" s="6" t="inlineStr">
        <is>
          <t>VB2</t>
        </is>
      </c>
      <c r="F13" s="6" t="inlineStr">
        <is>
          <t>NET2</t>
        </is>
      </c>
      <c r="G13" s="6" t="inlineStr">
        <is>
          <t>VSS</t>
        </is>
      </c>
      <c r="H13" s="7" t="n">
        <v>5</v>
      </c>
      <c r="I13" s="7" t="n">
        <v>0.5</v>
      </c>
      <c r="J13" s="8" t="n">
        <v>5</v>
      </c>
      <c r="K13" s="9" t="n">
        <v>0.6626340592003807</v>
      </c>
      <c r="L13" s="9" t="n">
        <v>0.6626340592003807</v>
      </c>
      <c r="M13" s="9" t="n">
        <v>0.0747538217250856</v>
      </c>
      <c r="N13" s="9" t="n">
        <v>0</v>
      </c>
      <c r="O13" s="9" t="n">
        <v>0.5878802374752951</v>
      </c>
      <c r="P13" s="9" t="n">
        <v>0.5878802374752951</v>
      </c>
      <c r="Q13" s="9" t="n">
        <v>-0.0747538217250856</v>
      </c>
      <c r="R13" s="9" t="n">
        <v>5.035781558293509e-06</v>
      </c>
      <c r="S13" s="9" t="n">
        <v>0.0001124418438752017</v>
      </c>
      <c r="T13" s="9" t="n">
        <v>1.002434146737297e-06</v>
      </c>
      <c r="U13" s="9" t="n">
        <v>2.395319059158706e-05</v>
      </c>
      <c r="V13" s="9" t="n">
        <v>0.6461000593463747</v>
      </c>
      <c r="W13" s="9" t="n">
        <v>0.05033867465852469</v>
      </c>
      <c r="X13" s="9">
        <f>IF(ABS(R13)&gt;0,ABS(S13)/ABS(R13),"nan")</f>
        <v/>
      </c>
      <c r="Y13" s="9">
        <f>IF(ABS(T13)&gt;0,ABS(S13)/ABS(T13),"nan")</f>
        <v/>
      </c>
      <c r="Z13" s="9">
        <f>IF(ABS(T13)&gt;0,1/ABS(T13),"nan")</f>
        <v/>
      </c>
      <c r="AA13" s="9">
        <f>IF(B13="PMOS",-P13,P13)</f>
        <v/>
      </c>
      <c r="AB13" s="9">
        <f>IF(B13="PMOS",-O13,O13)-ABS(V13)</f>
        <v/>
      </c>
      <c r="AC13" s="9">
        <f>AA13-ABS(W13)</f>
        <v/>
      </c>
    </row>
    <row r="14">
      <c r="A14" s="2" t="inlineStr">
        <is>
          <t>XNM4</t>
        </is>
      </c>
      <c r="B14" s="2" t="inlineStr">
        <is>
          <t>NMOS</t>
        </is>
      </c>
      <c r="C14" s="2" t="inlineStr">
        <is>
          <t>sky130_fd_pr__nfet_01v8</t>
        </is>
      </c>
      <c r="D14" s="2" t="inlineStr">
        <is>
          <t>VB3</t>
        </is>
      </c>
      <c r="E14" s="2" t="inlineStr">
        <is>
          <t>VB3</t>
        </is>
      </c>
      <c r="F14" s="2" t="inlineStr">
        <is>
          <t>VSS</t>
        </is>
      </c>
      <c r="G14" s="2" t="inlineStr">
        <is>
          <t>VSS</t>
        </is>
      </c>
      <c r="H14" s="3" t="n">
        <v>5</v>
      </c>
      <c r="I14" s="3" t="n">
        <v>0.5</v>
      </c>
      <c r="J14" s="4" t="n">
        <v>1</v>
      </c>
      <c r="K14" s="5" t="n">
        <v>0.6486399237365607</v>
      </c>
      <c r="L14" s="5" t="n">
        <v>0.6486399237365607</v>
      </c>
      <c r="M14" s="5" t="n">
        <v>0</v>
      </c>
      <c r="N14" s="5" t="n">
        <v>0</v>
      </c>
      <c r="O14" s="5" t="n">
        <v>0.6486399237365607</v>
      </c>
      <c r="P14" s="5" t="n">
        <v>0.6486399237365607</v>
      </c>
      <c r="Q14" s="5" t="n">
        <v>0</v>
      </c>
      <c r="R14" s="5" t="n">
        <v>5.042353923378281e-06</v>
      </c>
      <c r="S14" s="5" t="n">
        <v>9.576018306721721e-05</v>
      </c>
      <c r="T14" s="5" t="n">
        <v>8.037034254723091e-07</v>
      </c>
      <c r="U14" s="5" t="n">
        <v>2.064371663292293e-05</v>
      </c>
      <c r="V14" s="5" t="n">
        <v>0.6287535627162898</v>
      </c>
      <c r="W14" s="5" t="n">
        <v>0.07262637018022415</v>
      </c>
      <c r="X14" s="5">
        <f>IF(ABS(R14)&gt;0,ABS(S14)/ABS(R14),"nan")</f>
        <v/>
      </c>
      <c r="Y14" s="5">
        <f>IF(ABS(T14)&gt;0,ABS(S14)/ABS(T14),"nan")</f>
        <v/>
      </c>
      <c r="Z14" s="5">
        <f>IF(ABS(T14)&gt;0,1/ABS(T14),"nan")</f>
        <v/>
      </c>
      <c r="AA14" s="5">
        <f>IF(B14="PMOS",-P14,P14)</f>
        <v/>
      </c>
      <c r="AB14" s="5">
        <f>IF(B14="PMOS",-O14,O14)-ABS(V14)</f>
        <v/>
      </c>
      <c r="AC14" s="5">
        <f>AA14-ABS(W14)</f>
        <v/>
      </c>
    </row>
    <row r="15">
      <c r="A15" s="6" t="inlineStr">
        <is>
          <t>XNM3</t>
        </is>
      </c>
      <c r="B15" s="6" t="inlineStr">
        <is>
          <t>NMOS</t>
        </is>
      </c>
      <c r="C15" s="6" t="inlineStr">
        <is>
          <t>sky130_fd_pr__nfet_01v8</t>
        </is>
      </c>
      <c r="D15" s="6" t="inlineStr">
        <is>
          <t>NET24</t>
        </is>
      </c>
      <c r="E15" s="6" t="inlineStr">
        <is>
          <t>VB3</t>
        </is>
      </c>
      <c r="F15" s="6" t="inlineStr">
        <is>
          <t>VSS</t>
        </is>
      </c>
      <c r="G15" s="6" t="inlineStr">
        <is>
          <t>VSS</t>
        </is>
      </c>
      <c r="H15" s="7" t="n">
        <v>5</v>
      </c>
      <c r="I15" s="7" t="n">
        <v>0.5</v>
      </c>
      <c r="J15" s="8" t="n">
        <v>2</v>
      </c>
      <c r="K15" s="9" t="n">
        <v>0.003796119977428805</v>
      </c>
      <c r="L15" s="9" t="n">
        <v>0.6486399237365607</v>
      </c>
      <c r="M15" s="9" t="n">
        <v>0</v>
      </c>
      <c r="N15" s="9" t="n">
        <v>0</v>
      </c>
      <c r="O15" s="9" t="n">
        <v>0.6486399237365607</v>
      </c>
      <c r="P15" s="9" t="n">
        <v>0.003796119977428805</v>
      </c>
      <c r="Q15" s="9" t="n">
        <v>0</v>
      </c>
      <c r="R15" s="9" t="n">
        <v>7.486612948711287e-07</v>
      </c>
      <c r="S15" s="9" t="n">
        <v>1.069890074377553e-05</v>
      </c>
      <c r="T15" s="9" t="n">
        <v>0.0001915934180574409</v>
      </c>
      <c r="U15" s="9" t="n">
        <v>2.366323131637634e-06</v>
      </c>
      <c r="V15" s="9" t="n">
        <v>0.6301683327831933</v>
      </c>
      <c r="W15" s="9" t="n">
        <v>0.07203718118542987</v>
      </c>
      <c r="X15" s="9">
        <f>IF(ABS(R15)&gt;0,ABS(S15)/ABS(R15),"nan")</f>
        <v/>
      </c>
      <c r="Y15" s="9">
        <f>IF(ABS(T15)&gt;0,ABS(S15)/ABS(T15),"nan")</f>
        <v/>
      </c>
      <c r="Z15" s="9">
        <f>IF(ABS(T15)&gt;0,1/ABS(T15),"nan")</f>
        <v/>
      </c>
      <c r="AA15" s="9">
        <f>IF(B15="PMOS",-P15,P15)</f>
        <v/>
      </c>
      <c r="AB15" s="9">
        <f>IF(B15="PMOS",-O15,O15)-ABS(V15)</f>
        <v/>
      </c>
      <c r="AC15" s="9">
        <f>AA15-ABS(W15)</f>
        <v/>
      </c>
    </row>
    <row r="16">
      <c r="A16" s="2" t="inlineStr">
        <is>
          <t>XNM2</t>
        </is>
      </c>
      <c r="B16" s="2" t="inlineStr">
        <is>
          <t>NMOS</t>
        </is>
      </c>
      <c r="C16" s="2" t="inlineStr">
        <is>
          <t>sky130_fd_pr__nfet_01v8</t>
        </is>
      </c>
      <c r="D16" s="2" t="inlineStr">
        <is>
          <t>NET27</t>
        </is>
      </c>
      <c r="E16" s="2" t="inlineStr">
        <is>
          <t>VB3</t>
        </is>
      </c>
      <c r="F16" s="2" t="inlineStr">
        <is>
          <t>VSS</t>
        </is>
      </c>
      <c r="G16" s="2" t="inlineStr">
        <is>
          <t>VSS</t>
        </is>
      </c>
      <c r="H16" s="3" t="n">
        <v>5</v>
      </c>
      <c r="I16" s="3" t="n">
        <v>0.5</v>
      </c>
      <c r="J16" s="4" t="n">
        <v>2</v>
      </c>
      <c r="K16" s="5" t="n">
        <v>0.003796119977428833</v>
      </c>
      <c r="L16" s="5" t="n">
        <v>0.6486399237365607</v>
      </c>
      <c r="M16" s="5" t="n">
        <v>0</v>
      </c>
      <c r="N16" s="5" t="n">
        <v>0</v>
      </c>
      <c r="O16" s="5" t="n">
        <v>0.6486399237365607</v>
      </c>
      <c r="P16" s="5" t="n">
        <v>0.003796119977428833</v>
      </c>
      <c r="Q16" s="5" t="n">
        <v>0</v>
      </c>
      <c r="R16" s="5" t="n">
        <v>7.486612948711287e-07</v>
      </c>
      <c r="S16" s="5" t="n">
        <v>1.069890074377553e-05</v>
      </c>
      <c r="T16" s="5" t="n">
        <v>0.0001915934180574409</v>
      </c>
      <c r="U16" s="5" t="n">
        <v>2.366323131637634e-06</v>
      </c>
      <c r="V16" s="5" t="n">
        <v>0.6301683327831933</v>
      </c>
      <c r="W16" s="5" t="n">
        <v>0.07203718118542987</v>
      </c>
      <c r="X16" s="5">
        <f>IF(ABS(R16)&gt;0,ABS(S16)/ABS(R16),"nan")</f>
        <v/>
      </c>
      <c r="Y16" s="5">
        <f>IF(ABS(T16)&gt;0,ABS(S16)/ABS(T16),"nan")</f>
        <v/>
      </c>
      <c r="Z16" s="5">
        <f>IF(ABS(T16)&gt;0,1/ABS(T16),"nan")</f>
        <v/>
      </c>
      <c r="AA16" s="5">
        <f>IF(B16="PMOS",-P16,P16)</f>
        <v/>
      </c>
      <c r="AB16" s="5">
        <f>IF(B16="PMOS",-O16,O16)-ABS(V16)</f>
        <v/>
      </c>
      <c r="AC16" s="5">
        <f>AA16-ABS(W16)</f>
        <v/>
      </c>
    </row>
    <row r="17">
      <c r="A17" s="6" t="inlineStr">
        <is>
          <t>XNM1</t>
        </is>
      </c>
      <c r="B17" s="6" t="inlineStr">
        <is>
          <t>NMOS</t>
        </is>
      </c>
      <c r="C17" s="6" t="inlineStr">
        <is>
          <t>sky130_fd_pr__nfet_01v8</t>
        </is>
      </c>
      <c r="D17" s="6" t="inlineStr">
        <is>
          <t>NET34</t>
        </is>
      </c>
      <c r="E17" s="6" t="inlineStr">
        <is>
          <t>VB2</t>
        </is>
      </c>
      <c r="F17" s="6" t="inlineStr">
        <is>
          <t>NET24</t>
        </is>
      </c>
      <c r="G17" s="6" t="inlineStr">
        <is>
          <t>VSS</t>
        </is>
      </c>
      <c r="H17" s="7" t="n">
        <v>5</v>
      </c>
      <c r="I17" s="7" t="n">
        <v>0.5</v>
      </c>
      <c r="J17" s="8" t="n">
        <v>1</v>
      </c>
      <c r="K17" s="9" t="n">
        <v>0.005304439875720081</v>
      </c>
      <c r="L17" s="9" t="n">
        <v>0.6626340592003807</v>
      </c>
      <c r="M17" s="9" t="n">
        <v>0.003796119977428805</v>
      </c>
      <c r="N17" s="9" t="n">
        <v>0</v>
      </c>
      <c r="O17" s="9" t="n">
        <v>0.6588379392229519</v>
      </c>
      <c r="P17" s="9" t="n">
        <v>0.001508319898291276</v>
      </c>
      <c r="Q17" s="9" t="n">
        <v>-0.003796119977428805</v>
      </c>
      <c r="R17" s="9" t="n">
        <v>1.722371281333878e-07</v>
      </c>
      <c r="S17" s="9" t="n">
        <v>2.328600549650789e-06</v>
      </c>
      <c r="T17" s="9" t="n">
        <v>0.0001129874542600225</v>
      </c>
      <c r="U17" s="9" t="n">
        <v>5.133548640640972e-07</v>
      </c>
      <c r="V17" s="9" t="n">
        <v>0.6310664437288264</v>
      </c>
      <c r="W17" s="9" t="n">
        <v>0.07609150654477573</v>
      </c>
      <c r="X17" s="9">
        <f>IF(ABS(R17)&gt;0,ABS(S17)/ABS(R17),"nan")</f>
        <v/>
      </c>
      <c r="Y17" s="9">
        <f>IF(ABS(T17)&gt;0,ABS(S17)/ABS(T17),"nan")</f>
        <v/>
      </c>
      <c r="Z17" s="9">
        <f>IF(ABS(T17)&gt;0,1/ABS(T17),"nan")</f>
        <v/>
      </c>
      <c r="AA17" s="9">
        <f>IF(B17="PMOS",-P17,P17)</f>
        <v/>
      </c>
      <c r="AB17" s="9">
        <f>IF(B17="PMOS",-O17,O17)-ABS(V17)</f>
        <v/>
      </c>
      <c r="AC17" s="9">
        <f>AA17-ABS(W17)</f>
        <v/>
      </c>
    </row>
    <row r="18">
      <c r="A18" s="2" t="inlineStr">
        <is>
          <t>XNM0</t>
        </is>
      </c>
      <c r="B18" s="2" t="inlineStr">
        <is>
          <t>NMOS</t>
        </is>
      </c>
      <c r="C18" s="2" t="inlineStr">
        <is>
          <t>sky130_fd_pr__nfet_01v8</t>
        </is>
      </c>
      <c r="D18" s="2" t="inlineStr">
        <is>
          <t>VOUT</t>
        </is>
      </c>
      <c r="E18" s="2" t="inlineStr">
        <is>
          <t>VB2</t>
        </is>
      </c>
      <c r="F18" s="2" t="inlineStr">
        <is>
          <t>NET27</t>
        </is>
      </c>
      <c r="G18" s="2" t="inlineStr">
        <is>
          <t>VSS</t>
        </is>
      </c>
      <c r="H18" s="3" t="n">
        <v>5</v>
      </c>
      <c r="I18" s="3" t="n">
        <v>0.5</v>
      </c>
      <c r="J18" s="4" t="n">
        <v>1</v>
      </c>
      <c r="K18" s="5" t="n">
        <v>0.005304439875720126</v>
      </c>
      <c r="L18" s="5" t="n">
        <v>0.6626340592003807</v>
      </c>
      <c r="M18" s="5" t="n">
        <v>0.003796119977428833</v>
      </c>
      <c r="N18" s="5" t="n">
        <v>0</v>
      </c>
      <c r="O18" s="5" t="n">
        <v>0.6588379392229519</v>
      </c>
      <c r="P18" s="5" t="n">
        <v>0.001508319898291293</v>
      </c>
      <c r="Q18" s="5" t="n">
        <v>-0.003796119977428833</v>
      </c>
      <c r="R18" s="5" t="n">
        <v>1.722371281333878e-07</v>
      </c>
      <c r="S18" s="5" t="n">
        <v>2.328600549650789e-06</v>
      </c>
      <c r="T18" s="5" t="n">
        <v>0.0001129874542600225</v>
      </c>
      <c r="U18" s="5" t="n">
        <v>5.133548640640972e-07</v>
      </c>
      <c r="V18" s="5" t="n">
        <v>0.6310664437288264</v>
      </c>
      <c r="W18" s="5" t="n">
        <v>0.07609150654477573</v>
      </c>
      <c r="X18" s="5">
        <f>IF(ABS(R18)&gt;0,ABS(S18)/ABS(R18),"nan")</f>
        <v/>
      </c>
      <c r="Y18" s="5">
        <f>IF(ABS(T18)&gt;0,ABS(S18)/ABS(T18),"nan")</f>
        <v/>
      </c>
      <c r="Z18" s="5">
        <f>IF(ABS(T18)&gt;0,1/ABS(T18),"nan")</f>
        <v/>
      </c>
      <c r="AA18" s="5">
        <f>IF(B18="PMOS",-P18,P18)</f>
        <v/>
      </c>
      <c r="AB18" s="5">
        <f>IF(B18="PMOS",-O18,O18)-ABS(V18)</f>
        <v/>
      </c>
      <c r="AC18" s="5">
        <f>AA18-ABS(W18)</f>
        <v/>
      </c>
    </row>
    <row r="20">
      <c r="A20" t="inlineStr">
        <is>
          <t>DC snapshot: XDUT_CM fully open-loop; independently biased inputs. Signed terminal voltages; model currents already include M.</t>
        </is>
      </c>
    </row>
  </sheetData>
  <autoFilter ref="A1:AC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0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</cols>
  <sheetData>
    <row r="1" ht="34" customHeight="1">
      <c r="A1" s="1" t="inlineStr">
        <is>
          <t>Device</t>
        </is>
      </c>
      <c r="B1" s="1" t="inlineStr">
        <is>
          <t>MOS_Type</t>
        </is>
      </c>
      <c r="C1" s="1" t="inlineStr">
        <is>
          <t>M</t>
        </is>
      </c>
      <c r="D1" s="1" t="inlineStr">
        <is>
          <t>cgg_F</t>
        </is>
      </c>
      <c r="E1" s="1" t="inlineStr">
        <is>
          <t>cgs_F</t>
        </is>
      </c>
      <c r="F1" s="1" t="inlineStr">
        <is>
          <t>cgd_F</t>
        </is>
      </c>
      <c r="G1" s="1" t="inlineStr">
        <is>
          <t>cgb_F</t>
        </is>
      </c>
      <c r="H1" s="1" t="inlineStr">
        <is>
          <t>cdg_F</t>
        </is>
      </c>
      <c r="I1" s="1" t="inlineStr">
        <is>
          <t>cdd_F</t>
        </is>
      </c>
      <c r="J1" s="1" t="inlineStr">
        <is>
          <t>cds_F</t>
        </is>
      </c>
      <c r="K1" s="1" t="inlineStr">
        <is>
          <t>cdb_F</t>
        </is>
      </c>
      <c r="L1" s="1" t="inlineStr">
        <is>
          <t>csg_F</t>
        </is>
      </c>
      <c r="M1" s="1" t="inlineStr">
        <is>
          <t>csd_F</t>
        </is>
      </c>
      <c r="N1" s="1" t="inlineStr">
        <is>
          <t>css_F</t>
        </is>
      </c>
      <c r="O1" s="1" t="inlineStr">
        <is>
          <t>csb_F</t>
        </is>
      </c>
      <c r="P1" s="1" t="inlineStr">
        <is>
          <t>cbg_F</t>
        </is>
      </c>
      <c r="Q1" s="1" t="inlineStr">
        <is>
          <t>cbd_F</t>
        </is>
      </c>
      <c r="R1" s="1" t="inlineStr">
        <is>
          <t>cbs_F</t>
        </is>
      </c>
      <c r="S1" s="1" t="inlineStr">
        <is>
          <t>cbb_F</t>
        </is>
      </c>
      <c r="T1" s="1" t="inlineStr">
        <is>
          <t>capbd_F</t>
        </is>
      </c>
      <c r="U1" s="1" t="inlineStr">
        <is>
          <t>capbs_F</t>
        </is>
      </c>
      <c r="V1" s="1" t="inlineStr">
        <is>
          <t>qg_C</t>
        </is>
      </c>
      <c r="W1" s="1" t="inlineStr">
        <is>
          <t>qb_C</t>
        </is>
      </c>
      <c r="X1" s="1" t="inlineStr">
        <is>
          <t>qd_C</t>
        </is>
      </c>
      <c r="Y1" s="1" t="inlineStr">
        <is>
          <t>qs_C</t>
        </is>
      </c>
    </row>
    <row r="2">
      <c r="A2" s="2" t="inlineStr">
        <is>
          <t>XPM9</t>
        </is>
      </c>
      <c r="B2" s="2" t="inlineStr">
        <is>
          <t>PMOS</t>
        </is>
      </c>
      <c r="C2" s="5" t="n">
        <v>1</v>
      </c>
      <c r="D2" s="5" t="n">
        <v>1.214832478611707e-14</v>
      </c>
      <c r="E2" s="5" t="n">
        <v>-1.089931043084929e-14</v>
      </c>
      <c r="F2" s="5" t="n">
        <v>3.132797305705586e-17</v>
      </c>
      <c r="G2" s="5" t="n">
        <v>-1.280342328324835e-15</v>
      </c>
      <c r="H2" s="5" t="n">
        <v>-3.843402600020975e-15</v>
      </c>
      <c r="I2" s="5" t="n">
        <v>-1.335033969579444e-17</v>
      </c>
      <c r="J2" s="5" t="n">
        <v>4.896657391881628e-15</v>
      </c>
      <c r="K2" s="5" t="n">
        <v>-1.039904452164858e-15</v>
      </c>
      <c r="L2" s="5" t="n">
        <v>-5.760965990502005e-15</v>
      </c>
      <c r="M2" s="5" t="n">
        <v>-2.163022876540618e-17</v>
      </c>
      <c r="N2" s="5" t="n">
        <v>7.341158535542903e-15</v>
      </c>
      <c r="O2" s="5" t="n">
        <v>-1.558562316275491e-15</v>
      </c>
      <c r="P2" s="5" t="n">
        <v>-2.543956195594088e-15</v>
      </c>
      <c r="Q2" s="5" t="n">
        <v>3.652595404144769e-18</v>
      </c>
      <c r="R2" s="5" t="n">
        <v>-1.338505496575241e-15</v>
      </c>
      <c r="S2" s="5" t="n">
        <v>3.878809096765184e-15</v>
      </c>
      <c r="T2" s="5" t="n">
        <v>6.957006315019486e-16</v>
      </c>
      <c r="U2" s="5" t="n">
        <v>7.018847590052635e-16</v>
      </c>
      <c r="V2" s="5" t="n">
        <v>9.473348461361042e-15</v>
      </c>
      <c r="W2" s="5" t="n">
        <v>-7.054671383531055e-15</v>
      </c>
      <c r="X2" s="5" t="n">
        <v>-9.67815093388239e-16</v>
      </c>
      <c r="Y2" s="5" t="n">
        <v>-1.450861984441748e-15</v>
      </c>
    </row>
    <row r="3">
      <c r="A3" s="6" t="inlineStr">
        <is>
          <t>XPM8</t>
        </is>
      </c>
      <c r="B3" s="6" t="inlineStr">
        <is>
          <t>PMOS</t>
        </is>
      </c>
      <c r="C3" s="9" t="n">
        <v>1</v>
      </c>
      <c r="D3" s="9" t="n">
        <v>1.214906020976296e-14</v>
      </c>
      <c r="E3" s="9" t="n">
        <v>-1.090019656860063e-14</v>
      </c>
      <c r="F3" s="9" t="n">
        <v>3.13695320837751e-17</v>
      </c>
      <c r="G3" s="9" t="n">
        <v>-1.280233173246105e-15</v>
      </c>
      <c r="H3" s="9" t="n">
        <v>-3.843654345536706e-15</v>
      </c>
      <c r="I3" s="9" t="n">
        <v>-1.340127422407e-17</v>
      </c>
      <c r="J3" s="9" t="n">
        <v>4.897014609363892e-15</v>
      </c>
      <c r="K3" s="9" t="n">
        <v>-1.039958989603117e-15</v>
      </c>
      <c r="L3" s="9" t="n">
        <v>-5.761458737811801e-15</v>
      </c>
      <c r="M3" s="9" t="n">
        <v>-2.164518686405207e-17</v>
      </c>
      <c r="N3" s="9" t="n">
        <v>7.341783389811853e-15</v>
      </c>
      <c r="O3" s="9" t="n">
        <v>-1.558679465135999e-15</v>
      </c>
      <c r="P3" s="9" t="n">
        <v>-2.54394712641445e-15</v>
      </c>
      <c r="Q3" s="9" t="n">
        <v>3.676929004346957e-18</v>
      </c>
      <c r="R3" s="9" t="n">
        <v>-1.338601430575118e-15</v>
      </c>
      <c r="S3" s="9" t="n">
        <v>3.878871627985221e-15</v>
      </c>
      <c r="T3" s="9" t="n">
        <v>6.922073497195876e-16</v>
      </c>
      <c r="U3" s="9" t="n">
        <v>7.018847590054111e-16</v>
      </c>
      <c r="V3" s="9" t="n">
        <v>9.473787162413584e-15</v>
      </c>
      <c r="W3" s="9" t="n">
        <v>-7.054620096894193e-15</v>
      </c>
      <c r="X3" s="9" t="n">
        <v>-9.680022792629623e-16</v>
      </c>
      <c r="Y3" s="9" t="n">
        <v>-1.451164786256428e-15</v>
      </c>
    </row>
    <row r="4">
      <c r="A4" s="2" t="inlineStr">
        <is>
          <t>XPM7</t>
        </is>
      </c>
      <c r="B4" s="2" t="inlineStr">
        <is>
          <t>PMOS</t>
        </is>
      </c>
      <c r="C4" s="5" t="n">
        <v>1</v>
      </c>
      <c r="D4" s="5" t="n">
        <v>1.214442480135963e-14</v>
      </c>
      <c r="E4" s="5" t="n">
        <v>-1.089457557961489e-14</v>
      </c>
      <c r="F4" s="5" t="n">
        <v>3.106464367516018e-17</v>
      </c>
      <c r="G4" s="5" t="n">
        <v>-1.280913865419902e-15</v>
      </c>
      <c r="H4" s="5" t="n">
        <v>-3.842122457087436e-15</v>
      </c>
      <c r="I4" s="5" t="n">
        <v>-1.302554149547731e-17</v>
      </c>
      <c r="J4" s="5" t="n">
        <v>4.894781468096281e-15</v>
      </c>
      <c r="K4" s="5" t="n">
        <v>-1.039633469513368e-15</v>
      </c>
      <c r="L4" s="5" t="n">
        <v>-5.758333347383116e-15</v>
      </c>
      <c r="M4" s="5" t="n">
        <v>-2.153629160293726e-17</v>
      </c>
      <c r="N4" s="5" t="n">
        <v>7.337807279668928e-15</v>
      </c>
      <c r="O4" s="5" t="n">
        <v>-1.557937640682875e-15</v>
      </c>
      <c r="P4" s="5" t="n">
        <v>-2.543968996889075e-15</v>
      </c>
      <c r="Q4" s="5" t="n">
        <v>3.497189423254393e-18</v>
      </c>
      <c r="R4" s="5" t="n">
        <v>-1.338013168150323e-15</v>
      </c>
      <c r="S4" s="5" t="n">
        <v>3.878484975616144e-15</v>
      </c>
      <c r="T4" s="5" t="n">
        <v>7.15137990363862e-16</v>
      </c>
      <c r="U4" s="5" t="n">
        <v>7.01884759004632e-16</v>
      </c>
      <c r="V4" s="5" t="n">
        <v>9.470999737879936e-15</v>
      </c>
      <c r="W4" s="5" t="n">
        <v>-7.054940760962029e-15</v>
      </c>
      <c r="X4" s="5" t="n">
        <v>-9.668218027691803e-16</v>
      </c>
      <c r="Y4" s="5" t="n">
        <v>-1.449237174148726e-15</v>
      </c>
    </row>
    <row r="5">
      <c r="A5" s="6" t="inlineStr">
        <is>
          <t>XPM6</t>
        </is>
      </c>
      <c r="B5" s="6" t="inlineStr">
        <is>
          <t>PMOS</t>
        </is>
      </c>
      <c r="C5" s="9" t="n">
        <v>2</v>
      </c>
      <c r="D5" s="9" t="n">
        <v>2.994633476828669e-14</v>
      </c>
      <c r="E5" s="9" t="n">
        <v>-1.297367855314252e-14</v>
      </c>
      <c r="F5" s="9" t="n">
        <v>-1.578917492849695e-14</v>
      </c>
      <c r="G5" s="9" t="n">
        <v>-1.183481286647223e-15</v>
      </c>
      <c r="H5" s="9" t="n">
        <v>-1.417828387362812e-14</v>
      </c>
      <c r="I5" s="9" t="n">
        <v>1.715582359335753e-14</v>
      </c>
      <c r="J5" s="9" t="n">
        <v>8.458178555291714e-16</v>
      </c>
      <c r="K5" s="9" t="n">
        <v>-3.823357575258584e-15</v>
      </c>
      <c r="L5" s="9" t="n">
        <v>-1.423482361762092e-14</v>
      </c>
      <c r="M5" s="9" t="n">
        <v>8.396881107689803e-15</v>
      </c>
      <c r="N5" s="9" t="n">
        <v>9.684433959349604e-15</v>
      </c>
      <c r="O5" s="9" t="n">
        <v>-3.846491449418488e-15</v>
      </c>
      <c r="P5" s="9" t="n">
        <v>-1.533227277037653e-15</v>
      </c>
      <c r="Q5" s="9" t="n">
        <v>-9.76352977255039e-15</v>
      </c>
      <c r="R5" s="9" t="n">
        <v>2.443426738263747e-15</v>
      </c>
      <c r="S5" s="9" t="n">
        <v>8.853330311324295e-15</v>
      </c>
      <c r="T5" s="9" t="n">
        <v>2.377380335748614e-15</v>
      </c>
      <c r="U5" s="9" t="n">
        <v>1.403769518001066e-15</v>
      </c>
      <c r="V5" s="9" t="n">
        <v>2.01933403606666e-14</v>
      </c>
      <c r="W5" s="9" t="n">
        <v>-1.330570243330918e-14</v>
      </c>
      <c r="X5" s="9" t="n">
        <v>-3.402954107839385e-15</v>
      </c>
      <c r="Y5" s="9" t="n">
        <v>-3.48468381951804e-15</v>
      </c>
    </row>
    <row r="6">
      <c r="A6" s="2" t="inlineStr">
        <is>
          <t>XPM5</t>
        </is>
      </c>
      <c r="B6" s="2" t="inlineStr">
        <is>
          <t>PMOS</t>
        </is>
      </c>
      <c r="C6" s="5" t="n">
        <v>1</v>
      </c>
      <c r="D6" s="5" t="n">
        <v>1.737192017300619e-14</v>
      </c>
      <c r="E6" s="5" t="n">
        <v>-1.284618769920181e-14</v>
      </c>
      <c r="F6" s="5" t="n">
        <v>3.32704190779282e-17</v>
      </c>
      <c r="G6" s="5" t="n">
        <v>-4.559002892882306e-15</v>
      </c>
      <c r="H6" s="5" t="n">
        <v>-4.601966342846257e-15</v>
      </c>
      <c r="I6" s="5" t="n">
        <v>-1.526153757214248e-17</v>
      </c>
      <c r="J6" s="5" t="n">
        <v>5.913583924333582e-15</v>
      </c>
      <c r="K6" s="5" t="n">
        <v>-1.296356043915182e-15</v>
      </c>
      <c r="L6" s="5" t="n">
        <v>-6.901412491633109e-15</v>
      </c>
      <c r="M6" s="5" t="n">
        <v>-2.31729353357837e-17</v>
      </c>
      <c r="N6" s="5" t="n">
        <v>8.868632823163939e-15</v>
      </c>
      <c r="O6" s="5" t="n">
        <v>-1.944047396195047e-15</v>
      </c>
      <c r="P6" s="5" t="n">
        <v>-5.868541338526821e-15</v>
      </c>
      <c r="Q6" s="5" t="n">
        <v>5.164053829997977e-18</v>
      </c>
      <c r="R6" s="5" t="n">
        <v>-1.936029048295714e-15</v>
      </c>
      <c r="S6" s="5" t="n">
        <v>7.799406332992536e-15</v>
      </c>
      <c r="T6" s="5" t="n">
        <v>1.126087534608538e-15</v>
      </c>
      <c r="U6" s="5" t="n">
        <v>2.377380335781771e-15</v>
      </c>
      <c r="V6" s="5" t="n">
        <v>1.502966668064695e-14</v>
      </c>
      <c r="W6" s="5" t="n">
        <v>-1.303057414002326e-14</v>
      </c>
      <c r="X6" s="5" t="n">
        <v>-7.99738511639715e-16</v>
      </c>
      <c r="Y6" s="5" t="n">
        <v>-1.199354028983971e-15</v>
      </c>
    </row>
    <row r="7">
      <c r="A7" s="6" t="inlineStr">
        <is>
          <t>XPM4</t>
        </is>
      </c>
      <c r="B7" s="6" t="inlineStr">
        <is>
          <t>PMOS</t>
        </is>
      </c>
      <c r="C7" s="9" t="n">
        <v>1</v>
      </c>
      <c r="D7" s="9" t="n">
        <v>1.737192017300619e-14</v>
      </c>
      <c r="E7" s="9" t="n">
        <v>-1.284618769920181e-14</v>
      </c>
      <c r="F7" s="9" t="n">
        <v>3.32704190779282e-17</v>
      </c>
      <c r="G7" s="9" t="n">
        <v>-4.559002892882306e-15</v>
      </c>
      <c r="H7" s="9" t="n">
        <v>-4.601966342846257e-15</v>
      </c>
      <c r="I7" s="9" t="n">
        <v>-1.526153757214248e-17</v>
      </c>
      <c r="J7" s="9" t="n">
        <v>5.913583924333582e-15</v>
      </c>
      <c r="K7" s="9" t="n">
        <v>-1.296356043915182e-15</v>
      </c>
      <c r="L7" s="9" t="n">
        <v>-6.901412491633109e-15</v>
      </c>
      <c r="M7" s="9" t="n">
        <v>-2.31729353357837e-17</v>
      </c>
      <c r="N7" s="9" t="n">
        <v>8.868632823163939e-15</v>
      </c>
      <c r="O7" s="9" t="n">
        <v>-1.944047396195047e-15</v>
      </c>
      <c r="P7" s="9" t="n">
        <v>-5.868541338526821e-15</v>
      </c>
      <c r="Q7" s="9" t="n">
        <v>5.164053829997977e-18</v>
      </c>
      <c r="R7" s="9" t="n">
        <v>-1.936029048295714e-15</v>
      </c>
      <c r="S7" s="9" t="n">
        <v>7.799406332992536e-15</v>
      </c>
      <c r="T7" s="9" t="n">
        <v>1.126087534608538e-15</v>
      </c>
      <c r="U7" s="9" t="n">
        <v>2.377380335781771e-15</v>
      </c>
      <c r="V7" s="9" t="n">
        <v>1.502966668064695e-14</v>
      </c>
      <c r="W7" s="9" t="n">
        <v>-1.303057414002326e-14</v>
      </c>
      <c r="X7" s="9" t="n">
        <v>-7.99738511639715e-16</v>
      </c>
      <c r="Y7" s="9" t="n">
        <v>-1.199354028983971e-15</v>
      </c>
    </row>
    <row r="8">
      <c r="A8" s="2" t="inlineStr">
        <is>
          <t>XPM3</t>
        </is>
      </c>
      <c r="B8" s="2" t="inlineStr">
        <is>
          <t>PMOS</t>
        </is>
      </c>
      <c r="C8" s="5" t="n">
        <v>1</v>
      </c>
      <c r="D8" s="5" t="n">
        <v>2.706381450946491e-14</v>
      </c>
      <c r="E8" s="5" t="n">
        <v>-1.524890355354793e-14</v>
      </c>
      <c r="F8" s="5" t="n">
        <v>3.727266419503252e-17</v>
      </c>
      <c r="G8" s="5" t="n">
        <v>-1.185218362011202e-14</v>
      </c>
      <c r="H8" s="5" t="n">
        <v>-5.54734405896759e-15</v>
      </c>
      <c r="I8" s="5" t="n">
        <v>-1.603758733446056e-17</v>
      </c>
      <c r="J8" s="5" t="n">
        <v>7.19525114171293e-15</v>
      </c>
      <c r="K8" s="5" t="n">
        <v>-1.631869495410879e-15</v>
      </c>
      <c r="L8" s="5" t="n">
        <v>-8.311860222453109e-15</v>
      </c>
      <c r="M8" s="5" t="n">
        <v>-2.728949949038436e-17</v>
      </c>
      <c r="N8" s="5" t="n">
        <v>1.078398396329108e-14</v>
      </c>
      <c r="O8" s="5" t="n">
        <v>-2.444834241347585e-15</v>
      </c>
      <c r="P8" s="5" t="n">
        <v>-1.320461022804421e-14</v>
      </c>
      <c r="Q8" s="5" t="n">
        <v>6.054422629812393e-18</v>
      </c>
      <c r="R8" s="5" t="n">
        <v>-2.730331551456084e-15</v>
      </c>
      <c r="S8" s="5" t="n">
        <v>1.592888735687048e-14</v>
      </c>
      <c r="T8" s="5" t="n">
        <v>3.183353221473105e-15</v>
      </c>
      <c r="U8" s="5" t="n">
        <v>2.807539036013495e-15</v>
      </c>
      <c r="V8" s="5" t="n">
        <v>2.674124673367652e-14</v>
      </c>
      <c r="W8" s="5" t="n">
        <v>-2.464161072912486e-14</v>
      </c>
      <c r="X8" s="5" t="n">
        <v>-8.403776591692195e-16</v>
      </c>
      <c r="Y8" s="5" t="n">
        <v>-1.259258345382446e-15</v>
      </c>
    </row>
    <row r="9">
      <c r="A9" s="6" t="inlineStr">
        <is>
          <t>XPM2</t>
        </is>
      </c>
      <c r="B9" s="6" t="inlineStr">
        <is>
          <t>PMOS</t>
        </is>
      </c>
      <c r="C9" s="9" t="n">
        <v>1</v>
      </c>
      <c r="D9" s="9" t="n">
        <v>2.706381450946491e-14</v>
      </c>
      <c r="E9" s="9" t="n">
        <v>-1.524890355354793e-14</v>
      </c>
      <c r="F9" s="9" t="n">
        <v>3.727266419503253e-17</v>
      </c>
      <c r="G9" s="9" t="n">
        <v>-1.185218362011202e-14</v>
      </c>
      <c r="H9" s="9" t="n">
        <v>-5.54734405896759e-15</v>
      </c>
      <c r="I9" s="9" t="n">
        <v>-1.603758733446056e-17</v>
      </c>
      <c r="J9" s="9" t="n">
        <v>7.19525114171293e-15</v>
      </c>
      <c r="K9" s="9" t="n">
        <v>-1.631869495410879e-15</v>
      </c>
      <c r="L9" s="9" t="n">
        <v>-8.311860222453109e-15</v>
      </c>
      <c r="M9" s="9" t="n">
        <v>-2.728949949038436e-17</v>
      </c>
      <c r="N9" s="9" t="n">
        <v>1.078398396329108e-14</v>
      </c>
      <c r="O9" s="9" t="n">
        <v>-2.444834241347585e-15</v>
      </c>
      <c r="P9" s="9" t="n">
        <v>-1.320461022804421e-14</v>
      </c>
      <c r="Q9" s="9" t="n">
        <v>6.054422629812393e-18</v>
      </c>
      <c r="R9" s="9" t="n">
        <v>-2.730331551456084e-15</v>
      </c>
      <c r="S9" s="9" t="n">
        <v>1.592888735687048e-14</v>
      </c>
      <c r="T9" s="9" t="n">
        <v>3.183353221473104e-15</v>
      </c>
      <c r="U9" s="9" t="n">
        <v>2.807539036013495e-15</v>
      </c>
      <c r="V9" s="9" t="n">
        <v>2.674124673367652e-14</v>
      </c>
      <c r="W9" s="9" t="n">
        <v>-2.464161072912486e-14</v>
      </c>
      <c r="X9" s="9" t="n">
        <v>-8.403776591692195e-16</v>
      </c>
      <c r="Y9" s="9" t="n">
        <v>-1.259258345382446e-15</v>
      </c>
    </row>
    <row r="10">
      <c r="A10" s="2" t="inlineStr">
        <is>
          <t>XPM1</t>
        </is>
      </c>
      <c r="B10" s="2" t="inlineStr">
        <is>
          <t>PMOS</t>
        </is>
      </c>
      <c r="C10" s="5" t="n">
        <v>1</v>
      </c>
      <c r="D10" s="5" t="n">
        <v>1.346582893731761e-14</v>
      </c>
      <c r="E10" s="5" t="n">
        <v>-9.624495952168931e-15</v>
      </c>
      <c r="F10" s="5" t="n">
        <v>2.624895089886636e-17</v>
      </c>
      <c r="G10" s="5" t="n">
        <v>-3.867581936047545e-15</v>
      </c>
      <c r="H10" s="5" t="n">
        <v>-3.455936654451547e-15</v>
      </c>
      <c r="I10" s="5" t="n">
        <v>-1.082289732791838e-17</v>
      </c>
      <c r="J10" s="5" t="n">
        <v>4.150209192824665e-15</v>
      </c>
      <c r="K10" s="5" t="n">
        <v>-6.834496410452002e-16</v>
      </c>
      <c r="L10" s="5" t="n">
        <v>-5.180291213700725e-15</v>
      </c>
      <c r="M10" s="5" t="n">
        <v>-1.72292524383402e-17</v>
      </c>
      <c r="N10" s="5" t="n">
        <v>6.221934427951148e-15</v>
      </c>
      <c r="O10" s="5" t="n">
        <v>-1.024413961812082e-15</v>
      </c>
      <c r="P10" s="5" t="n">
        <v>-4.829601069165338e-15</v>
      </c>
      <c r="Q10" s="5" t="n">
        <v>1.803198867392231e-18</v>
      </c>
      <c r="R10" s="5" t="n">
        <v>-7.476476686068818e-16</v>
      </c>
      <c r="S10" s="5" t="n">
        <v>5.575445538904827e-15</v>
      </c>
      <c r="T10" s="5" t="n">
        <v>1.126575428234021e-15</v>
      </c>
      <c r="U10" s="5" t="n">
        <v>1.591676610744051e-15</v>
      </c>
      <c r="V10" s="5" t="n">
        <v>1.999804560425346e-14</v>
      </c>
      <c r="W10" s="5" t="n">
        <v>-1.870866712713756e-14</v>
      </c>
      <c r="X10" s="5" t="n">
        <v>-5.159544743002065e-16</v>
      </c>
      <c r="Y10" s="5" t="n">
        <v>-7.734240028156974e-16</v>
      </c>
    </row>
    <row r="11">
      <c r="A11" s="6" t="inlineStr">
        <is>
          <t>XPM0</t>
        </is>
      </c>
      <c r="B11" s="6" t="inlineStr">
        <is>
          <t>PMOS</t>
        </is>
      </c>
      <c r="C11" s="9" t="n">
        <v>1</v>
      </c>
      <c r="D11" s="9" t="n">
        <v>1.346582893731763e-14</v>
      </c>
      <c r="E11" s="9" t="n">
        <v>-9.624495952168952e-15</v>
      </c>
      <c r="F11" s="9" t="n">
        <v>2.624895089886642e-17</v>
      </c>
      <c r="G11" s="9" t="n">
        <v>-3.867581936047542e-15</v>
      </c>
      <c r="H11" s="9" t="n">
        <v>-3.45593665445156e-15</v>
      </c>
      <c r="I11" s="9" t="n">
        <v>-1.082289732791841e-17</v>
      </c>
      <c r="J11" s="9" t="n">
        <v>4.150209192824678e-15</v>
      </c>
      <c r="K11" s="9" t="n">
        <v>-6.834496410451998e-16</v>
      </c>
      <c r="L11" s="9" t="n">
        <v>-5.180291213700732e-15</v>
      </c>
      <c r="M11" s="9" t="n">
        <v>-1.722925243834024e-17</v>
      </c>
      <c r="N11" s="9" t="n">
        <v>6.221934427951158e-15</v>
      </c>
      <c r="O11" s="9" t="n">
        <v>-1.024413961812085e-15</v>
      </c>
      <c r="P11" s="9" t="n">
        <v>-4.829601069165335e-15</v>
      </c>
      <c r="Q11" s="9" t="n">
        <v>1.803198867392238e-18</v>
      </c>
      <c r="R11" s="9" t="n">
        <v>-7.476476686068841e-16</v>
      </c>
      <c r="S11" s="9" t="n">
        <v>5.575445538904827e-15</v>
      </c>
      <c r="T11" s="9" t="n">
        <v>1.126575428234021e-15</v>
      </c>
      <c r="U11" s="9" t="n">
        <v>1.591676610744052e-15</v>
      </c>
      <c r="V11" s="9" t="n">
        <v>1.999804560425346e-14</v>
      </c>
      <c r="W11" s="9" t="n">
        <v>-1.870866712713756e-14</v>
      </c>
      <c r="X11" s="9" t="n">
        <v>-5.159544743002067e-16</v>
      </c>
      <c r="Y11" s="9" t="n">
        <v>-7.734240028157004e-16</v>
      </c>
    </row>
    <row r="12">
      <c r="A12" s="2" t="inlineStr">
        <is>
          <t>XNM6</t>
        </is>
      </c>
      <c r="B12" s="2" t="inlineStr">
        <is>
          <t>NMOS</t>
        </is>
      </c>
      <c r="C12" s="5" t="n">
        <v>1</v>
      </c>
      <c r="D12" s="5" t="n">
        <v>1.3652093924514e-14</v>
      </c>
      <c r="E12" s="5" t="n">
        <v>-8.812999821007219e-15</v>
      </c>
      <c r="F12" s="5" t="n">
        <v>-3.721585594986661e-15</v>
      </c>
      <c r="G12" s="5" t="n">
        <v>-1.11750850852012e-15</v>
      </c>
      <c r="H12" s="5" t="n">
        <v>-5.825814755626175e-15</v>
      </c>
      <c r="I12" s="5" t="n">
        <v>4.572471294578916e-15</v>
      </c>
      <c r="J12" s="5" t="n">
        <v>2.657444991358673e-15</v>
      </c>
      <c r="K12" s="5" t="n">
        <v>-1.404101530311414e-15</v>
      </c>
      <c r="L12" s="5" t="n">
        <v>-6.409391329066001e-15</v>
      </c>
      <c r="M12" s="5" t="n">
        <v>1.869903835437291e-15</v>
      </c>
      <c r="N12" s="5" t="n">
        <v>6.111765465787053e-15</v>
      </c>
      <c r="O12" s="5" t="n">
        <v>-1.572277972158342e-15</v>
      </c>
      <c r="P12" s="5" t="n">
        <v>-1.416887839821824e-15</v>
      </c>
      <c r="Q12" s="5" t="n">
        <v>-2.720789535029546e-15</v>
      </c>
      <c r="R12" s="5" t="n">
        <v>4.378936386149305e-17</v>
      </c>
      <c r="S12" s="5" t="n">
        <v>4.093888010989877e-15</v>
      </c>
      <c r="T12" s="5" t="n">
        <v>1.121522752557087e-15</v>
      </c>
      <c r="U12" s="5" t="n">
        <v>1.007492348313581e-15</v>
      </c>
      <c r="V12" s="5" t="n">
        <v>8.95455189261438e-15</v>
      </c>
      <c r="W12" s="5" t="n">
        <v>-6.358780497143564e-15</v>
      </c>
      <c r="X12" s="5" t="n">
        <v>-1.156053402806645e-15</v>
      </c>
      <c r="Y12" s="5" t="n">
        <v>-1.43971799266417e-15</v>
      </c>
    </row>
    <row r="13">
      <c r="A13" s="6" t="inlineStr">
        <is>
          <t>XNM5</t>
        </is>
      </c>
      <c r="B13" s="6" t="inlineStr">
        <is>
          <t>NMOS</t>
        </is>
      </c>
      <c r="C13" s="9" t="n">
        <v>5</v>
      </c>
      <c r="D13" s="9" t="n">
        <v>5.164345984942183e-14</v>
      </c>
      <c r="E13" s="9" t="n">
        <v>-4.25765196915312e-14</v>
      </c>
      <c r="F13" s="9" t="n">
        <v>5.501333013438759e-17</v>
      </c>
      <c r="G13" s="9" t="n">
        <v>-9.121953488025014e-15</v>
      </c>
      <c r="H13" s="9" t="n">
        <v>-1.537828276114751e-14</v>
      </c>
      <c r="I13" s="9" t="n">
        <v>-6.874589401403836e-18</v>
      </c>
      <c r="J13" s="9" t="n">
        <v>1.911055932498296e-14</v>
      </c>
      <c r="K13" s="9" t="n">
        <v>-3.725401974434048e-15</v>
      </c>
      <c r="L13" s="9" t="n">
        <v>-2.300669899959481e-14</v>
      </c>
      <c r="M13" s="9" t="n">
        <v>-4.36597838750702e-17</v>
      </c>
      <c r="N13" s="9" t="n">
        <v>2.862139815151558e-14</v>
      </c>
      <c r="O13" s="9" t="n">
        <v>-5.5710393680457e-15</v>
      </c>
      <c r="P13" s="9" t="n">
        <v>-1.325847808867951e-14</v>
      </c>
      <c r="Q13" s="9" t="n">
        <v>-4.478956857913552e-18</v>
      </c>
      <c r="R13" s="9" t="n">
        <v>-5.155437784967338e-15</v>
      </c>
      <c r="S13" s="9" t="n">
        <v>1.841839483050476e-14</v>
      </c>
      <c r="T13" s="9" t="n">
        <v>3.908014610882053e-15</v>
      </c>
      <c r="U13" s="9" t="n">
        <v>5.607613762803733e-15</v>
      </c>
      <c r="V13" s="9" t="n">
        <v>4.023243545722848e-14</v>
      </c>
      <c r="W13" s="9" t="n">
        <v>-3.293210418848285e-14</v>
      </c>
      <c r="X13" s="9" t="n">
        <v>-2.923883330015835e-15</v>
      </c>
      <c r="Y13" s="9" t="n">
        <v>-4.376447938729796e-15</v>
      </c>
    </row>
    <row r="14">
      <c r="A14" s="2" t="inlineStr">
        <is>
          <t>XNM4</t>
        </is>
      </c>
      <c r="B14" s="2" t="inlineStr">
        <is>
          <t>NMOS</t>
        </is>
      </c>
      <c r="C14" s="5" t="n">
        <v>1</v>
      </c>
      <c r="D14" s="5" t="n">
        <v>1.179320998176796e-14</v>
      </c>
      <c r="E14" s="5" t="n">
        <v>-1.028638951151194e-14</v>
      </c>
      <c r="F14" s="5" t="n">
        <v>1.304982069204788e-17</v>
      </c>
      <c r="G14" s="5" t="n">
        <v>-1.519870290948074e-15</v>
      </c>
      <c r="H14" s="5" t="n">
        <v>-3.66649114860651e-15</v>
      </c>
      <c r="I14" s="5" t="n">
        <v>-1.393543895348735e-18</v>
      </c>
      <c r="J14" s="5" t="n">
        <v>4.580282407729437e-15</v>
      </c>
      <c r="K14" s="5" t="n">
        <v>-9.123977152275785e-16</v>
      </c>
      <c r="L14" s="5" t="n">
        <v>-5.485895193967366e-15</v>
      </c>
      <c r="M14" s="5" t="n">
        <v>-1.031461817585779e-17</v>
      </c>
      <c r="N14" s="5" t="n">
        <v>6.860710211418467e-15</v>
      </c>
      <c r="O14" s="5" t="n">
        <v>-1.364500399275242e-15</v>
      </c>
      <c r="P14" s="5" t="n">
        <v>-2.640823639194087e-15</v>
      </c>
      <c r="Q14" s="5" t="n">
        <v>-1.341658620841358e-18</v>
      </c>
      <c r="R14" s="5" t="n">
        <v>-1.154603107635966e-15</v>
      </c>
      <c r="S14" s="5" t="n">
        <v>3.796768405450895e-15</v>
      </c>
      <c r="T14" s="5" t="n">
        <v>7.8705204425441e-16</v>
      </c>
      <c r="U14" s="5" t="n">
        <v>1.007492348317162e-15</v>
      </c>
      <c r="V14" s="5" t="n">
        <v>8.596721680959535e-15</v>
      </c>
      <c r="W14" s="5" t="n">
        <v>-6.467594361734589e-15</v>
      </c>
      <c r="X14" s="5" t="n">
        <v>-8.526298416439424e-16</v>
      </c>
      <c r="Y14" s="5" t="n">
        <v>-1.276497477581004e-15</v>
      </c>
    </row>
    <row r="15">
      <c r="A15" s="6" t="inlineStr">
        <is>
          <t>XNM3</t>
        </is>
      </c>
      <c r="B15" s="6" t="inlineStr">
        <is>
          <t>NMOS</t>
        </is>
      </c>
      <c r="C15" s="9" t="n">
        <v>2</v>
      </c>
      <c r="D15" s="9" t="n">
        <v>2.875222221128014e-14</v>
      </c>
      <c r="E15" s="9" t="n">
        <v>-1.149060126538576e-14</v>
      </c>
      <c r="F15" s="9" t="n">
        <v>-1.531386838251444e-14</v>
      </c>
      <c r="G15" s="9" t="n">
        <v>-1.94775256337995e-15</v>
      </c>
      <c r="H15" s="9" t="n">
        <v>-1.361815345872941e-14</v>
      </c>
      <c r="I15" s="9" t="n">
        <v>1.77155990030595e-14</v>
      </c>
      <c r="J15" s="9" t="n">
        <v>-7.18079967388237e-16</v>
      </c>
      <c r="K15" s="9" t="n">
        <v>-3.379365576941848e-15</v>
      </c>
      <c r="L15" s="9" t="n">
        <v>-1.364508117132142e-14</v>
      </c>
      <c r="M15" s="9" t="n">
        <v>8.769726143452569e-15</v>
      </c>
      <c r="N15" s="9" t="n">
        <v>8.265998395313881e-15</v>
      </c>
      <c r="O15" s="9" t="n">
        <v>-3.390643367445027e-15</v>
      </c>
      <c r="P15" s="9" t="n">
        <v>-1.488987581229311e-15</v>
      </c>
      <c r="Q15" s="9" t="n">
        <v>-1.117145676399763e-14</v>
      </c>
      <c r="R15" s="9" t="n">
        <v>3.942682837460112e-15</v>
      </c>
      <c r="S15" s="9" t="n">
        <v>8.717761507766825e-15</v>
      </c>
      <c r="T15" s="9" t="n">
        <v>2.374785228091993e-15</v>
      </c>
      <c r="U15" s="9" t="n">
        <v>2.014984696626181e-15</v>
      </c>
      <c r="V15" s="9" t="n">
        <v>1.833160351953783e-14</v>
      </c>
      <c r="W15" s="9" t="n">
        <v>-1.209254278256028e-14</v>
      </c>
      <c r="X15" s="9" t="n">
        <v>-3.102448963082877e-15</v>
      </c>
      <c r="Y15" s="9" t="n">
        <v>-3.136611773894668e-15</v>
      </c>
    </row>
    <row r="16">
      <c r="A16" s="2" t="inlineStr">
        <is>
          <t>XNM2</t>
        </is>
      </c>
      <c r="B16" s="2" t="inlineStr">
        <is>
          <t>NMOS</t>
        </is>
      </c>
      <c r="C16" s="5" t="n">
        <v>2</v>
      </c>
      <c r="D16" s="5" t="n">
        <v>2.875222221128014e-14</v>
      </c>
      <c r="E16" s="5" t="n">
        <v>-1.149060126538576e-14</v>
      </c>
      <c r="F16" s="5" t="n">
        <v>-1.531386838251444e-14</v>
      </c>
      <c r="G16" s="5" t="n">
        <v>-1.94775256337995e-15</v>
      </c>
      <c r="H16" s="5" t="n">
        <v>-1.361815345872941e-14</v>
      </c>
      <c r="I16" s="5" t="n">
        <v>1.77155990030595e-14</v>
      </c>
      <c r="J16" s="5" t="n">
        <v>-7.18079967388237e-16</v>
      </c>
      <c r="K16" s="5" t="n">
        <v>-3.379365576941848e-15</v>
      </c>
      <c r="L16" s="5" t="n">
        <v>-1.364508117132142e-14</v>
      </c>
      <c r="M16" s="5" t="n">
        <v>8.769726143452569e-15</v>
      </c>
      <c r="N16" s="5" t="n">
        <v>8.265998395313881e-15</v>
      </c>
      <c r="O16" s="5" t="n">
        <v>-3.390643367445027e-15</v>
      </c>
      <c r="P16" s="5" t="n">
        <v>-1.488987581229311e-15</v>
      </c>
      <c r="Q16" s="5" t="n">
        <v>-1.117145676399763e-14</v>
      </c>
      <c r="R16" s="5" t="n">
        <v>3.942682837460112e-15</v>
      </c>
      <c r="S16" s="5" t="n">
        <v>8.717761507766825e-15</v>
      </c>
      <c r="T16" s="5" t="n">
        <v>2.374785228091993e-15</v>
      </c>
      <c r="U16" s="5" t="n">
        <v>2.014984696626181e-15</v>
      </c>
      <c r="V16" s="5" t="n">
        <v>1.833160351953783e-14</v>
      </c>
      <c r="W16" s="5" t="n">
        <v>-1.209254278256028e-14</v>
      </c>
      <c r="X16" s="5" t="n">
        <v>-3.102448963082877e-15</v>
      </c>
      <c r="Y16" s="5" t="n">
        <v>-3.136611773894668e-15</v>
      </c>
    </row>
    <row r="17">
      <c r="A17" s="6" t="inlineStr">
        <is>
          <t>XNM1</t>
        </is>
      </c>
      <c r="B17" s="6" t="inlineStr">
        <is>
          <t>NMOS</t>
        </is>
      </c>
      <c r="C17" s="9" t="n">
        <v>1</v>
      </c>
      <c r="D17" s="9" t="n">
        <v>1.457768222490945e-14</v>
      </c>
      <c r="E17" s="9" t="n">
        <v>-5.833683402212247e-15</v>
      </c>
      <c r="F17" s="9" t="n">
        <v>-7.820183920033918e-15</v>
      </c>
      <c r="G17" s="9" t="n">
        <v>-9.238149026632893e-16</v>
      </c>
      <c r="H17" s="9" t="n">
        <v>-6.940554104028188e-15</v>
      </c>
      <c r="I17" s="9" t="n">
        <v>9.025653039220565e-15</v>
      </c>
      <c r="J17" s="9" t="n">
        <v>-3.689178895190939e-16</v>
      </c>
      <c r="K17" s="9" t="n">
        <v>-1.716181045673283e-15</v>
      </c>
      <c r="L17" s="9" t="n">
        <v>-6.945498735464762e-15</v>
      </c>
      <c r="M17" s="9" t="n">
        <v>4.49097728544282e-15</v>
      </c>
      <c r="N17" s="9" t="n">
        <v>4.172852688447201e-15</v>
      </c>
      <c r="O17" s="9" t="n">
        <v>-1.718331238425259e-15</v>
      </c>
      <c r="P17" s="9" t="n">
        <v>-6.916293854165046e-16</v>
      </c>
      <c r="Q17" s="9" t="n">
        <v>-5.696446404629467e-15</v>
      </c>
      <c r="R17" s="9" t="n">
        <v>2.02974860328414e-15</v>
      </c>
      <c r="S17" s="9" t="n">
        <v>4.358327186761831e-15</v>
      </c>
      <c r="T17" s="9" t="n">
        <v>1.185901590712434e-15</v>
      </c>
      <c r="U17" s="9" t="n">
        <v>1.187392614046038e-15</v>
      </c>
      <c r="V17" s="9" t="n">
        <v>9.334753560406603e-15</v>
      </c>
      <c r="W17" s="9" t="n">
        <v>-6.057228969827473e-15</v>
      </c>
      <c r="X17" s="9" t="n">
        <v>-1.635335147905743e-15</v>
      </c>
      <c r="Y17" s="9" t="n">
        <v>-1.642189442673387e-15</v>
      </c>
    </row>
    <row r="18">
      <c r="A18" s="2" t="inlineStr">
        <is>
          <t>XNM0</t>
        </is>
      </c>
      <c r="B18" s="2" t="inlineStr">
        <is>
          <t>NMOS</t>
        </is>
      </c>
      <c r="C18" s="5" t="n">
        <v>1</v>
      </c>
      <c r="D18" s="5" t="n">
        <v>1.457768222490945e-14</v>
      </c>
      <c r="E18" s="5" t="n">
        <v>-5.833683402212247e-15</v>
      </c>
      <c r="F18" s="5" t="n">
        <v>-7.820183920033918e-15</v>
      </c>
      <c r="G18" s="5" t="n">
        <v>-9.238149026632893e-16</v>
      </c>
      <c r="H18" s="5" t="n">
        <v>-6.940554104028188e-15</v>
      </c>
      <c r="I18" s="5" t="n">
        <v>9.025653039220565e-15</v>
      </c>
      <c r="J18" s="5" t="n">
        <v>-3.689178895190939e-16</v>
      </c>
      <c r="K18" s="5" t="n">
        <v>-1.716181045673283e-15</v>
      </c>
      <c r="L18" s="5" t="n">
        <v>-6.945498735464762e-15</v>
      </c>
      <c r="M18" s="5" t="n">
        <v>4.49097728544282e-15</v>
      </c>
      <c r="N18" s="5" t="n">
        <v>4.172852688447201e-15</v>
      </c>
      <c r="O18" s="5" t="n">
        <v>-1.718331238425259e-15</v>
      </c>
      <c r="P18" s="5" t="n">
        <v>-6.916293854165046e-16</v>
      </c>
      <c r="Q18" s="5" t="n">
        <v>-5.696446404629467e-15</v>
      </c>
      <c r="R18" s="5" t="n">
        <v>2.02974860328414e-15</v>
      </c>
      <c r="S18" s="5" t="n">
        <v>4.358327186761831e-15</v>
      </c>
      <c r="T18" s="5" t="n">
        <v>1.185901590712434e-15</v>
      </c>
      <c r="U18" s="5" t="n">
        <v>1.187392614046038e-15</v>
      </c>
      <c r="V18" s="5" t="n">
        <v>9.334753560406603e-15</v>
      </c>
      <c r="W18" s="5" t="n">
        <v>-6.057228969827473e-15</v>
      </c>
      <c r="X18" s="5" t="n">
        <v>-1.635335147905743e-15</v>
      </c>
      <c r="Y18" s="5" t="n">
        <v>-1.642189442673387e-15</v>
      </c>
    </row>
    <row r="20">
      <c r="A20" t="inlineStr">
        <is>
          <t>Native BSIM capacitance/charge matrix. Preserve signs of cross terms.</t>
        </is>
      </c>
    </row>
  </sheetData>
  <autoFilter ref="A1:Y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2" customWidth="1" min="2" max="2"/>
    <col width="14" customWidth="1" min="3" max="3"/>
  </cols>
  <sheetData>
    <row r="1" ht="34" customHeight="1">
      <c r="A1" s="1" t="inlineStr">
        <is>
          <t>Metric</t>
        </is>
      </c>
      <c r="B1" s="1" t="inlineStr">
        <is>
          <t>Value</t>
        </is>
      </c>
      <c r="C1" s="1" t="inlineStr">
        <is>
          <t>Unit</t>
        </is>
      </c>
    </row>
    <row r="2">
      <c r="A2" s="2" t="inlineStr">
        <is>
          <t>DC_Gain_dB</t>
        </is>
      </c>
      <c r="B2" s="5" t="n">
        <v>-31.2964</v>
      </c>
      <c r="C2" s="2" t="inlineStr">
        <is>
          <t>dB</t>
        </is>
      </c>
    </row>
    <row r="3">
      <c r="A3" s="6" t="inlineStr">
        <is>
          <t>UGF_Hz</t>
        </is>
      </c>
      <c r="B3" s="6" t="inlineStr">
        <is>
          <t>nan</t>
        </is>
      </c>
      <c r="C3" s="6" t="inlineStr">
        <is>
          <t>Hz</t>
        </is>
      </c>
    </row>
    <row r="4">
      <c r="A4" s="2" t="inlineStr">
        <is>
          <t>Phase_Margin_deg</t>
        </is>
      </c>
      <c r="B4" s="2" t="inlineStr">
        <is>
          <t>nan</t>
        </is>
      </c>
      <c r="C4" s="2" t="inlineStr">
        <is>
          <t>deg</t>
        </is>
      </c>
    </row>
    <row r="5">
      <c r="A5" s="6" t="inlineStr">
        <is>
          <t>CMRR_dB</t>
        </is>
      </c>
      <c r="B5" s="9" t="n">
        <v>-3.99382</v>
      </c>
      <c r="C5" s="6" t="inlineStr">
        <is>
          <t>dB</t>
        </is>
      </c>
    </row>
    <row r="6">
      <c r="A6" s="2" t="inlineStr">
        <is>
          <t>PSRR_Plus_dB</t>
        </is>
      </c>
      <c r="B6" s="5" t="n">
        <v>-7.33773</v>
      </c>
      <c r="C6" s="2" t="inlineStr">
        <is>
          <t>dB</t>
        </is>
      </c>
    </row>
    <row r="7">
      <c r="A7" s="6" t="inlineStr">
        <is>
          <t>PSRR_Minus_dB</t>
        </is>
      </c>
      <c r="B7" s="9" t="n">
        <v>-31.1187</v>
      </c>
      <c r="C7" s="6" t="inlineStr">
        <is>
          <t>dB</t>
        </is>
      </c>
    </row>
    <row r="8">
      <c r="A8" s="2" t="inlineStr">
        <is>
          <t>Slew_Rise_V_us</t>
        </is>
      </c>
      <c r="B8" s="5" t="n">
        <v>0.0134735</v>
      </c>
      <c r="C8" s="2" t="inlineStr">
        <is>
          <t>V/us</t>
        </is>
      </c>
    </row>
    <row r="9">
      <c r="A9" s="6" t="inlineStr">
        <is>
          <t>Slew_Fall_V_us</t>
        </is>
      </c>
      <c r="B9" s="9" t="n">
        <v>0.0135489</v>
      </c>
      <c r="C9" s="6" t="inlineStr">
        <is>
          <t>V/us</t>
        </is>
      </c>
    </row>
    <row r="10">
      <c r="A10" s="2" t="inlineStr">
        <is>
          <t>Power_Quiescent_uW</t>
        </is>
      </c>
      <c r="B10" s="5" t="n">
        <v>29.8358</v>
      </c>
      <c r="C10" s="2" t="inlineStr">
        <is>
          <t>uW</t>
        </is>
      </c>
    </row>
  </sheetData>
  <autoFilter ref="A1:C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68" customWidth="1" min="3" max="3"/>
    <col width="14" customWidth="1" min="4" max="4"/>
    <col width="100" customWidth="1" min="5" max="5"/>
  </cols>
  <sheetData>
    <row r="1" ht="34" customHeight="1">
      <c r="A1" s="1" t="inlineStr">
        <is>
          <t>Category</t>
        </is>
      </c>
      <c r="B1" s="1" t="inlineStr">
        <is>
          <t>Parameter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Notes</t>
        </is>
      </c>
    </row>
    <row r="2">
      <c r="A2" s="2" t="inlineStr">
        <is>
          <t>DC snapshot</t>
        </is>
      </c>
      <c r="B2" s="2" t="inlineStr">
        <is>
          <t>Instance</t>
        </is>
      </c>
      <c r="C2" s="2" t="inlineStr">
        <is>
          <t>XDUT_CM</t>
        </is>
      </c>
      <c r="D2" s="2" t="inlineStr"/>
      <c r="E2" s="2" t="inlineStr">
        <is>
          <t>Open-loop DUT; independent DC inputs; same instance as quiescent power</t>
        </is>
      </c>
    </row>
    <row r="3">
      <c r="A3" s="6" t="inlineStr">
        <is>
          <t>DC snapshot</t>
        </is>
      </c>
      <c r="B3" s="6" t="inlineStr">
        <is>
          <t>VINP_actual</t>
        </is>
      </c>
      <c r="C3" s="9" t="n">
        <v>0.9</v>
      </c>
      <c r="D3" s="6" t="inlineStr">
        <is>
          <t>V</t>
        </is>
      </c>
      <c r="E3" s="6" t="inlineStr">
        <is>
          <t>Actual node voltage, not the requested target</t>
        </is>
      </c>
    </row>
    <row r="4">
      <c r="A4" s="2" t="inlineStr">
        <is>
          <t>DC snapshot</t>
        </is>
      </c>
      <c r="B4" s="2" t="inlineStr">
        <is>
          <t>VINN_actual</t>
        </is>
      </c>
      <c r="C4" s="5" t="n">
        <v>0.9</v>
      </c>
      <c r="D4" s="2" t="inlineStr">
        <is>
          <t>V</t>
        </is>
      </c>
      <c r="E4" s="2" t="inlineStr">
        <is>
          <t>Independently biased inverting input; no output feedback</t>
        </is>
      </c>
    </row>
    <row r="5">
      <c r="A5" s="6" t="inlineStr">
        <is>
          <t>DC snapshot</t>
        </is>
      </c>
      <c r="B5" s="6" t="inlineStr">
        <is>
          <t>VOUT_actual</t>
        </is>
      </c>
      <c r="C5" s="9" t="n">
        <v>0.005304439875720126</v>
      </c>
      <c r="D5" s="6" t="inlineStr">
        <is>
          <t>V</t>
        </is>
      </c>
      <c r="E5" s="6" t="inlineStr">
        <is>
          <t>Actual solved DC output</t>
        </is>
      </c>
    </row>
    <row r="6">
      <c r="A6" s="2" t="inlineStr">
        <is>
          <t>DC snapshot</t>
        </is>
      </c>
      <c r="B6" s="2" t="inlineStr">
        <is>
          <t>Output_minus_VINP</t>
        </is>
      </c>
      <c r="C6" s="5" t="n">
        <v>-0.8946955601242799</v>
      </c>
      <c r="D6" s="2" t="inlineStr">
        <is>
          <t>V</t>
        </is>
      </c>
      <c r="E6" s="2" t="inlineStr">
        <is>
          <t>VOUT minus VINP; not a follower tracking error</t>
        </is>
      </c>
    </row>
    <row r="7">
      <c r="A7" s="6" t="inlineStr">
        <is>
          <t>DC snapshot</t>
        </is>
      </c>
      <c r="B7" s="6" t="inlineStr">
        <is>
          <t>Input_differential</t>
        </is>
      </c>
      <c r="C7" s="9" t="n">
        <v>0</v>
      </c>
      <c r="D7" s="6" t="inlineStr">
        <is>
          <t>V</t>
        </is>
      </c>
      <c r="E7" s="6" t="inlineStr">
        <is>
          <t>Actual VINP minus VINN</t>
        </is>
      </c>
    </row>
    <row r="8">
      <c r="A8" s="2" t="inlineStr">
        <is>
          <t>DC snapshot</t>
        </is>
      </c>
      <c r="B8" s="2" t="inlineStr">
        <is>
          <t>Output_headroom_low</t>
        </is>
      </c>
      <c r="C8" s="5" t="n">
        <v>0.005304439875720126</v>
      </c>
      <c r="D8" s="2" t="inlineStr">
        <is>
          <t>V</t>
        </is>
      </c>
      <c r="E8" s="2" t="inlineStr">
        <is>
          <t>VOUT minus VSS; inspect bias before interpreting gain</t>
        </is>
      </c>
    </row>
    <row r="9">
      <c r="A9" s="6" t="inlineStr">
        <is>
          <t>DC snapshot</t>
        </is>
      </c>
      <c r="B9" s="6" t="inlineStr">
        <is>
          <t>Output_headroom_high</t>
        </is>
      </c>
      <c r="C9" s="9" t="n">
        <v>1.79469556012428</v>
      </c>
      <c r="D9" s="6" t="inlineStr">
        <is>
          <t>V</t>
        </is>
      </c>
      <c r="E9" s="6" t="inlineStr">
        <is>
          <t>VDD minus VOUT; inspect bias before interpreting gain</t>
        </is>
      </c>
    </row>
    <row r="10">
      <c r="A10" s="2" t="inlineStr">
        <is>
          <t>DC snapshot</t>
        </is>
      </c>
      <c r="B10" s="2" t="inlineStr">
        <is>
          <t>DM_CM_bias_difference</t>
        </is>
      </c>
      <c r="C10" s="5" t="n">
        <v>-1.283695372222837e-16</v>
      </c>
      <c r="D10" s="2" t="inlineStr">
        <is>
          <t>V</t>
        </is>
      </c>
      <c r="E10" s="2" t="inlineStr">
        <is>
          <t>OUT_DM minus OUT_CM</t>
        </is>
      </c>
    </row>
    <row r="11">
      <c r="A11" s="6" t="inlineStr">
        <is>
          <t>DC snapshot</t>
        </is>
      </c>
      <c r="B11" s="6" t="inlineStr">
        <is>
          <t>Power_Quiescent</t>
        </is>
      </c>
      <c r="C11" s="9" t="n">
        <v>29.8358280899459</v>
      </c>
      <c r="D11" s="6" t="inlineStr">
        <is>
          <t>uW</t>
        </is>
      </c>
      <c r="E11" s="6" t="inlineStr">
        <is>
          <t>One DUT instance only</t>
        </is>
      </c>
    </row>
    <row r="12">
      <c r="A12" s="2" t="inlineStr">
        <is>
          <t>Test condition</t>
        </is>
      </c>
      <c r="B12" s="2" t="inlineStr">
        <is>
          <t>SUPPLY_VDD</t>
        </is>
      </c>
      <c r="C12" s="5" t="n">
        <v>1.8</v>
      </c>
      <c r="D12" s="2" t="inlineStr">
        <is>
          <t>V</t>
        </is>
      </c>
      <c r="E12" s="2" t="inlineStr"/>
    </row>
    <row r="13">
      <c r="A13" s="6" t="inlineStr">
        <is>
          <t>Test condition</t>
        </is>
      </c>
      <c r="B13" s="6" t="inlineStr">
        <is>
          <t>SUPPLY_VSS</t>
        </is>
      </c>
      <c r="C13" s="9" t="n">
        <v>0</v>
      </c>
      <c r="D13" s="6" t="inlineStr">
        <is>
          <t>V</t>
        </is>
      </c>
      <c r="E13" s="6" t="inlineStr"/>
    </row>
    <row r="14">
      <c r="A14" s="2" t="inlineStr">
        <is>
          <t>Test condition</t>
        </is>
      </c>
      <c r="B14" s="2" t="inlineStr">
        <is>
          <t>INPUT_VCM</t>
        </is>
      </c>
      <c r="C14" s="5" t="n">
        <v>0.9</v>
      </c>
      <c r="D14" s="2" t="inlineStr">
        <is>
          <t>V</t>
        </is>
      </c>
      <c r="E14" s="2" t="inlineStr"/>
    </row>
    <row r="15">
      <c r="A15" s="6" t="inlineStr">
        <is>
          <t>Test condition</t>
        </is>
      </c>
      <c r="B15" s="6" t="inlineStr">
        <is>
          <t>INPUT_VDIFF</t>
        </is>
      </c>
      <c r="C15" s="9" t="n">
        <v>0</v>
      </c>
      <c r="D15" s="6" t="inlineStr">
        <is>
          <t>V</t>
        </is>
      </c>
      <c r="E15" s="6" t="inlineStr"/>
    </row>
    <row r="16">
      <c r="A16" s="2" t="inlineStr">
        <is>
          <t>Test condition</t>
        </is>
      </c>
      <c r="B16" s="2" t="inlineStr">
        <is>
          <t>LOAD_C</t>
        </is>
      </c>
      <c r="C16" s="5" t="n">
        <v>1e-12</v>
      </c>
      <c r="D16" s="2" t="inlineStr">
        <is>
          <t>F</t>
        </is>
      </c>
      <c r="E16" s="2" t="inlineStr"/>
    </row>
    <row r="17">
      <c r="A17" s="6" t="inlineStr">
        <is>
          <t>Test condition</t>
        </is>
      </c>
      <c r="B17" s="6" t="inlineStr">
        <is>
          <t>AC_DENSITY</t>
        </is>
      </c>
      <c r="C17" s="9" t="n">
        <v>100</v>
      </c>
      <c r="D17" s="6" t="inlineStr">
        <is>
          <t>points/dec</t>
        </is>
      </c>
      <c r="E17" s="6" t="inlineStr"/>
    </row>
    <row r="18">
      <c r="A18" s="2" t="inlineStr">
        <is>
          <t>Test condition</t>
        </is>
      </c>
      <c r="B18" s="2" t="inlineStr">
        <is>
          <t>AC_START_HZ</t>
        </is>
      </c>
      <c r="C18" s="5" t="n">
        <v>0.1</v>
      </c>
      <c r="D18" s="2" t="inlineStr">
        <is>
          <t>Hz</t>
        </is>
      </c>
      <c r="E18" s="2" t="inlineStr"/>
    </row>
    <row r="19">
      <c r="A19" s="6" t="inlineStr">
        <is>
          <t>Test condition</t>
        </is>
      </c>
      <c r="B19" s="6" t="inlineStr">
        <is>
          <t>AC_STOP_HZ</t>
        </is>
      </c>
      <c r="C19" s="9" t="n">
        <v>50000000000</v>
      </c>
      <c r="D19" s="6" t="inlineStr">
        <is>
          <t>Hz</t>
        </is>
      </c>
      <c r="E19" s="6" t="inlineStr"/>
    </row>
    <row r="20">
      <c r="A20" s="2" t="inlineStr">
        <is>
          <t>Test condition</t>
        </is>
      </c>
      <c r="B20" s="2" t="inlineStr">
        <is>
          <t>REF_HZ</t>
        </is>
      </c>
      <c r="C20" s="5" t="n">
        <v>1</v>
      </c>
      <c r="D20" s="2" t="inlineStr">
        <is>
          <t>Hz</t>
        </is>
      </c>
      <c r="E20" s="2" t="inlineStr"/>
    </row>
    <row r="21">
      <c r="A21" s="6" t="inlineStr">
        <is>
          <t>Test condition</t>
        </is>
      </c>
      <c r="B21" s="6" t="inlineStr">
        <is>
          <t>SR_DIFF_LOW</t>
        </is>
      </c>
      <c r="C21" s="9" t="n">
        <v>-0.01</v>
      </c>
      <c r="D21" s="6" t="inlineStr">
        <is>
          <t>V</t>
        </is>
      </c>
      <c r="E21" s="6" t="inlineStr"/>
    </row>
    <row r="22">
      <c r="A22" s="2" t="inlineStr">
        <is>
          <t>Test condition</t>
        </is>
      </c>
      <c r="B22" s="2" t="inlineStr">
        <is>
          <t>SR_DIFF_HIGH</t>
        </is>
      </c>
      <c r="C22" s="5" t="n">
        <v>0.01</v>
      </c>
      <c r="D22" s="2" t="inlineStr">
        <is>
          <t>V</t>
        </is>
      </c>
      <c r="E22" s="2" t="inlineStr"/>
    </row>
    <row r="23">
      <c r="A23" s="6" t="inlineStr">
        <is>
          <t>Test condition</t>
        </is>
      </c>
      <c r="B23" s="6" t="inlineStr">
        <is>
          <t>TEMP</t>
        </is>
      </c>
      <c r="C23" s="9" t="n">
        <v>27</v>
      </c>
      <c r="D23" s="6" t="inlineStr">
        <is>
          <t>degC</t>
        </is>
      </c>
      <c r="E23" s="6" t="inlineStr"/>
    </row>
    <row r="24">
      <c r="A24" s="2" t="inlineStr">
        <is>
          <t>Test condition</t>
        </is>
      </c>
      <c r="B24" s="2" t="inlineStr">
        <is>
          <t>PDK_PATH</t>
        </is>
      </c>
      <c r="C24" s="2" t="inlineStr">
        <is>
          <t>/share/home/202411094934/python_project/pdk/sky130A/libs.tech/ngspice/sky130.lib.spice</t>
        </is>
      </c>
      <c r="D24" s="2" t="inlineStr"/>
      <c r="E24" s="2" t="inlineStr">
        <is>
          <t>Model library used for this run</t>
        </is>
      </c>
    </row>
    <row r="25">
      <c r="A25" s="6" t="inlineStr">
        <is>
          <t>Test condition</t>
        </is>
      </c>
      <c r="B25" s="6" t="inlineStr">
        <is>
          <t>CORNER</t>
        </is>
      </c>
      <c r="C25" s="6" t="inlineStr">
        <is>
          <t>tt</t>
        </is>
      </c>
      <c r="D25" s="6" t="inlineStr"/>
      <c r="E25" s="6" t="inlineStr"/>
    </row>
    <row r="26">
      <c r="A26" s="2" t="inlineStr">
        <is>
          <t>Design parameter</t>
        </is>
      </c>
      <c r="B26" s="2" t="inlineStr">
        <is>
          <t>DESVAR_W1</t>
        </is>
      </c>
      <c r="C26" s="5" t="n">
        <v>5</v>
      </c>
      <c r="D26" s="2" t="inlineStr">
        <is>
          <t>um</t>
        </is>
      </c>
      <c r="E26" s="2" t="inlineStr">
        <is>
          <t>Resolved numeric value</t>
        </is>
      </c>
    </row>
    <row r="27">
      <c r="A27" s="6" t="inlineStr">
        <is>
          <t>Design parameter</t>
        </is>
      </c>
      <c r="B27" s="6" t="inlineStr">
        <is>
          <t>DESVAR_L1</t>
        </is>
      </c>
      <c r="C27" s="9" t="n">
        <v>0.5</v>
      </c>
      <c r="D27" s="6" t="inlineStr">
        <is>
          <t>um</t>
        </is>
      </c>
      <c r="E27" s="6" t="inlineStr">
        <is>
          <t>Resolved numeric value</t>
        </is>
      </c>
    </row>
    <row r="28">
      <c r="A28" s="2" t="inlineStr">
        <is>
          <t>Design parameter</t>
        </is>
      </c>
      <c r="B28" s="2" t="inlineStr">
        <is>
          <t>DESVAR_W2</t>
        </is>
      </c>
      <c r="C28" s="5" t="n">
        <v>5</v>
      </c>
      <c r="D28" s="2" t="inlineStr">
        <is>
          <t>um</t>
        </is>
      </c>
      <c r="E28" s="2" t="inlineStr">
        <is>
          <t>Resolved numeric value</t>
        </is>
      </c>
    </row>
    <row r="29">
      <c r="A29" s="6" t="inlineStr">
        <is>
          <t>Design parameter</t>
        </is>
      </c>
      <c r="B29" s="6" t="inlineStr">
        <is>
          <t>DESVAR_L2</t>
        </is>
      </c>
      <c r="C29" s="9" t="n">
        <v>0.5</v>
      </c>
      <c r="D29" s="6" t="inlineStr">
        <is>
          <t>um</t>
        </is>
      </c>
      <c r="E29" s="6" t="inlineStr">
        <is>
          <t>Resolved numeric value</t>
        </is>
      </c>
    </row>
    <row r="30">
      <c r="A30" s="2" t="inlineStr">
        <is>
          <t>Design parameter</t>
        </is>
      </c>
      <c r="B30" s="2" t="inlineStr">
        <is>
          <t>DESVAR_W3</t>
        </is>
      </c>
      <c r="C30" s="5" t="n">
        <v>5</v>
      </c>
      <c r="D30" s="2" t="inlineStr">
        <is>
          <t>um</t>
        </is>
      </c>
      <c r="E30" s="2" t="inlineStr">
        <is>
          <t>Resolved numeric value</t>
        </is>
      </c>
    </row>
    <row r="31">
      <c r="A31" s="6" t="inlineStr">
        <is>
          <t>Design parameter</t>
        </is>
      </c>
      <c r="B31" s="6" t="inlineStr">
        <is>
          <t>DESVAR_L3</t>
        </is>
      </c>
      <c r="C31" s="9" t="n">
        <v>0.5</v>
      </c>
      <c r="D31" s="6" t="inlineStr">
        <is>
          <t>um</t>
        </is>
      </c>
      <c r="E31" s="6" t="inlineStr">
        <is>
          <t>Resolved numeric value</t>
        </is>
      </c>
    </row>
    <row r="32">
      <c r="A32" s="2" t="inlineStr">
        <is>
          <t>Design parameter</t>
        </is>
      </c>
      <c r="B32" s="2" t="inlineStr">
        <is>
          <t>DESVAR_W4</t>
        </is>
      </c>
      <c r="C32" s="5" t="n">
        <v>10</v>
      </c>
      <c r="D32" s="2" t="inlineStr">
        <is>
          <t>um</t>
        </is>
      </c>
      <c r="E32" s="2" t="inlineStr">
        <is>
          <t>Resolved numeric value</t>
        </is>
      </c>
    </row>
    <row r="33">
      <c r="A33" s="6" t="inlineStr">
        <is>
          <t>Design parameter</t>
        </is>
      </c>
      <c r="B33" s="6" t="inlineStr">
        <is>
          <t>DESVAR_L4</t>
        </is>
      </c>
      <c r="C33" s="9" t="n">
        <v>0.5</v>
      </c>
      <c r="D33" s="6" t="inlineStr">
        <is>
          <t>um</t>
        </is>
      </c>
      <c r="E33" s="6" t="inlineStr">
        <is>
          <t>Resolved numeric value</t>
        </is>
      </c>
    </row>
    <row r="34">
      <c r="A34" s="2" t="inlineStr">
        <is>
          <t>Design parameter</t>
        </is>
      </c>
      <c r="B34" s="2" t="inlineStr">
        <is>
          <t>DESVAR_W5</t>
        </is>
      </c>
      <c r="C34" s="5" t="n">
        <v>5</v>
      </c>
      <c r="D34" s="2" t="inlineStr">
        <is>
          <t>um</t>
        </is>
      </c>
      <c r="E34" s="2" t="inlineStr">
        <is>
          <t>Resolved numeric value</t>
        </is>
      </c>
    </row>
    <row r="35">
      <c r="A35" s="6" t="inlineStr">
        <is>
          <t>Design parameter</t>
        </is>
      </c>
      <c r="B35" s="6" t="inlineStr">
        <is>
          <t>DESVAR_L5</t>
        </is>
      </c>
      <c r="C35" s="9" t="n">
        <v>0.5</v>
      </c>
      <c r="D35" s="6" t="inlineStr">
        <is>
          <t>um</t>
        </is>
      </c>
      <c r="E35" s="6" t="inlineStr">
        <is>
          <t>Resolved numeric value</t>
        </is>
      </c>
    </row>
    <row r="36">
      <c r="A36" s="2" t="inlineStr">
        <is>
          <t>Design parameter</t>
        </is>
      </c>
      <c r="B36" s="2" t="inlineStr">
        <is>
          <t>DESVAR_W6</t>
        </is>
      </c>
      <c r="C36" s="5" t="n">
        <v>10</v>
      </c>
      <c r="D36" s="2" t="inlineStr">
        <is>
          <t>um</t>
        </is>
      </c>
      <c r="E36" s="2" t="inlineStr">
        <is>
          <t>Resolved numeric value</t>
        </is>
      </c>
    </row>
    <row r="37">
      <c r="A37" s="6" t="inlineStr">
        <is>
          <t>Design parameter</t>
        </is>
      </c>
      <c r="B37" s="6" t="inlineStr">
        <is>
          <t>DESVAR_L6</t>
        </is>
      </c>
      <c r="C37" s="9" t="n">
        <v>0.5</v>
      </c>
      <c r="D37" s="6" t="inlineStr">
        <is>
          <t>um</t>
        </is>
      </c>
      <c r="E37" s="6" t="inlineStr">
        <is>
          <t>Resolved numeric value</t>
        </is>
      </c>
    </row>
    <row r="38">
      <c r="A38" s="2" t="inlineStr">
        <is>
          <t>Design parameter</t>
        </is>
      </c>
      <c r="B38" s="2" t="inlineStr">
        <is>
          <t>DESVAR_W7</t>
        </is>
      </c>
      <c r="C38" s="5" t="n">
        <v>20</v>
      </c>
      <c r="D38" s="2" t="inlineStr">
        <is>
          <t>um</t>
        </is>
      </c>
      <c r="E38" s="2" t="inlineStr">
        <is>
          <t>Resolved numeric value</t>
        </is>
      </c>
    </row>
    <row r="39">
      <c r="A39" s="6" t="inlineStr">
        <is>
          <t>Design parameter</t>
        </is>
      </c>
      <c r="B39" s="6" t="inlineStr">
        <is>
          <t>DESVAR_L7</t>
        </is>
      </c>
      <c r="C39" s="9" t="n">
        <v>0.5</v>
      </c>
      <c r="D39" s="6" t="inlineStr">
        <is>
          <t>um</t>
        </is>
      </c>
      <c r="E39" s="6" t="inlineStr">
        <is>
          <t>Resolved numeric value</t>
        </is>
      </c>
    </row>
    <row r="40">
      <c r="A40" s="2" t="inlineStr">
        <is>
          <t>Design parameter</t>
        </is>
      </c>
      <c r="B40" s="2" t="inlineStr">
        <is>
          <t>DESVAR_M0</t>
        </is>
      </c>
      <c r="C40" s="5" t="n">
        <v>5</v>
      </c>
      <c r="D40" s="2" t="inlineStr">
        <is>
          <t>count</t>
        </is>
      </c>
      <c r="E40" s="2" t="inlineStr">
        <is>
          <t>Resolved numeric value</t>
        </is>
      </c>
    </row>
    <row r="41">
      <c r="A41" s="6" t="inlineStr">
        <is>
          <t>Design parameter</t>
        </is>
      </c>
      <c r="B41" s="6" t="inlineStr">
        <is>
          <t>DESVAR_M1</t>
        </is>
      </c>
      <c r="C41" s="9" t="n">
        <v>1</v>
      </c>
      <c r="D41" s="6" t="inlineStr">
        <is>
          <t>count</t>
        </is>
      </c>
      <c r="E41" s="6" t="inlineStr">
        <is>
          <t>Resolved numeric value</t>
        </is>
      </c>
    </row>
    <row r="42">
      <c r="A42" s="2" t="inlineStr">
        <is>
          <t>Design parameter</t>
        </is>
      </c>
      <c r="B42" s="2" t="inlineStr">
        <is>
          <t>DESVAR_M2</t>
        </is>
      </c>
      <c r="C42" s="5" t="n">
        <v>1</v>
      </c>
      <c r="D42" s="2" t="inlineStr">
        <is>
          <t>count</t>
        </is>
      </c>
      <c r="E42" s="2" t="inlineStr">
        <is>
          <t>Resolved numeric value</t>
        </is>
      </c>
    </row>
    <row r="43">
      <c r="A43" s="6" t="inlineStr">
        <is>
          <t>Design parameter</t>
        </is>
      </c>
      <c r="B43" s="6" t="inlineStr">
        <is>
          <t>IBIAS_A</t>
        </is>
      </c>
      <c r="C43" s="9" t="n">
        <v>5e-06</v>
      </c>
      <c r="D43" s="6" t="inlineStr">
        <is>
          <t>A</t>
        </is>
      </c>
      <c r="E43" s="6" t="inlineStr">
        <is>
          <t>Resolved numeric value</t>
        </is>
      </c>
    </row>
    <row r="44">
      <c r="A44" s="2" t="inlineStr">
        <is>
          <t>Definition</t>
        </is>
      </c>
      <c r="B44" s="2" t="inlineStr">
        <is>
          <t>VGS_V / VDS_V / VBS_V</t>
        </is>
      </c>
      <c r="C44" s="2" t="inlineStr">
        <is>
          <t>Terminal node differences</t>
        </is>
      </c>
      <c r="D44" s="2" t="inlineStr">
        <is>
          <t>V</t>
        </is>
      </c>
      <c r="E44" s="2" t="inlineStr">
        <is>
          <t>Signed; PMOS VGS/VDS normally negative</t>
        </is>
      </c>
    </row>
    <row r="45">
      <c r="A45" s="6" t="inlineStr">
        <is>
          <t>Definition</t>
        </is>
      </c>
      <c r="B45" s="6" t="inlineStr">
        <is>
          <t>Id_model_A / gm_S / gds_S</t>
        </is>
      </c>
      <c r="C45" s="6" t="inlineStr">
        <is>
          <t>Native ngspice BSIM values</t>
        </is>
      </c>
      <c r="D45" s="6" t="inlineStr"/>
      <c r="E45" s="6" t="inlineStr">
        <is>
          <t>Already include M; no extra multiplication</t>
        </is>
      </c>
    </row>
    <row r="46">
      <c r="A46" s="2" t="inlineStr">
        <is>
          <t>Definition</t>
        </is>
      </c>
      <c r="B46" s="2" t="inlineStr">
        <is>
          <t>Capacitances</t>
        </is>
      </c>
      <c r="C46" s="2" t="inlineStr">
        <is>
          <t>Native BSIM charge-derivative matrix</t>
        </is>
      </c>
      <c r="D46" s="2" t="inlineStr">
        <is>
          <t>F</t>
        </is>
      </c>
      <c r="E46" s="2" t="inlineStr">
        <is>
          <t>Preserve signed off-diagonal terms; not all entries are positive lumped capacitors</t>
        </is>
      </c>
    </row>
    <row r="47">
      <c r="A47" s="6" t="inlineStr">
        <is>
          <t>Definition</t>
        </is>
      </c>
      <c r="B47" s="6" t="inlineStr">
        <is>
          <t>Saturation_margin_V</t>
        </is>
      </c>
      <c r="C47" s="6" t="inlineStr">
        <is>
          <t>VDS_oriented minus abs(Vdsat_model)</t>
        </is>
      </c>
      <c r="D47" s="6" t="inlineStr">
        <is>
          <t>V</t>
        </is>
      </c>
      <c r="E47" s="6" t="inlineStr">
        <is>
          <t>Diagnostic only; not an unconditional operating-region classifier</t>
        </is>
      </c>
    </row>
    <row r="48">
      <c r="A48" s="2" t="inlineStr">
        <is>
          <t>Definition</t>
        </is>
      </c>
      <c r="B48" s="2" t="inlineStr">
        <is>
          <t>Vov_est_V</t>
        </is>
      </c>
      <c r="C48" s="2" t="inlineStr">
        <is>
          <t>Oriented VGS minus abs(Vth_model)</t>
        </is>
      </c>
      <c r="D48" s="2" t="inlineStr">
        <is>
          <t>V</t>
        </is>
      </c>
      <c r="E48" s="2" t="inlineStr">
        <is>
          <t>Diagnostic only; negative overdrive can occur in weak inversion</t>
        </is>
      </c>
    </row>
    <row r="49">
      <c r="A49" s="6" t="inlineStr">
        <is>
          <t>Definition</t>
        </is>
      </c>
      <c r="B49" s="6" t="inlineStr">
        <is>
          <t>DC_Gain_dB / UGF_Hz</t>
        </is>
      </c>
      <c r="C49" s="6" t="inlineStr">
        <is>
          <t>Differential open-loop gain Ad at fixed common mode</t>
        </is>
      </c>
      <c r="D49" s="6" t="inlineStr"/>
      <c r="E49" s="6" t="inlineStr">
        <is>
          <t>UGF is the first falling crossing of abs(Ad)=1</t>
        </is>
      </c>
    </row>
    <row r="50">
      <c r="A50" s="2" t="inlineStr">
        <is>
          <t>Definition</t>
        </is>
      </c>
      <c r="B50" s="2" t="inlineStr">
        <is>
          <t>CMRR_dB</t>
        </is>
      </c>
      <c r="C50" s="2" t="inlineStr">
        <is>
          <t>20*log10(abs(Ad/Acm))</t>
        </is>
      </c>
      <c r="D50" s="2" t="inlineStr">
        <is>
          <t>dB</t>
        </is>
      </c>
      <c r="E50" s="2" t="inlineStr">
        <is>
          <t>Direct open-loop common-mode injection</t>
        </is>
      </c>
    </row>
    <row r="51">
      <c r="A51" s="6" t="inlineStr">
        <is>
          <t>Definition</t>
        </is>
      </c>
      <c r="B51" s="6" t="inlineStr">
        <is>
          <t>PSRR_Plus_dB / PSRR_Minus_dB</t>
        </is>
      </c>
      <c r="C51" s="6" t="inlineStr">
        <is>
          <t>20*log10(abs(Ad/Asupply))</t>
        </is>
      </c>
      <c r="D51" s="6" t="inlineStr">
        <is>
          <t>dB</t>
        </is>
      </c>
      <c r="E51" s="6" t="inlineStr">
        <is>
          <t>Input-referred rejection; independent inputs are AC grounded</t>
        </is>
      </c>
    </row>
    <row r="52">
      <c r="A52" s="2" t="inlineStr">
        <is>
          <t>Definition</t>
        </is>
      </c>
      <c r="B52" s="2" t="inlineStr">
        <is>
          <t>Phase_Margin_deg</t>
        </is>
      </c>
      <c r="C52" s="2" t="inlineStr">
        <is>
          <t>Hypothetical unity-feedback estimate at this open-loop bias</t>
        </is>
      </c>
      <c r="D52" s="2" t="inlineStr">
        <is>
          <t>deg</t>
        </is>
      </c>
      <c r="E52" s="2" t="inlineStr">
        <is>
          <t>T=Ad-Acm/2=-gn; PM at T unity crossing. Closing feedback may change the DC bias. Not a stability proof.</t>
        </is>
      </c>
    </row>
    <row r="53">
      <c r="A53" s="6" t="inlineStr">
        <is>
          <t>Definition</t>
        </is>
      </c>
      <c r="B53" s="6" t="inlineStr">
        <is>
          <t>Slew_Rise_V_us / Slew_Fall_V_us</t>
        </is>
      </c>
      <c r="C53" s="6" t="inlineStr">
        <is>
          <t>Open-loop output transition rates</t>
        </is>
      </c>
      <c r="D53" s="6" t="inlineStr">
        <is>
          <t>V/us</t>
        </is>
      </c>
      <c r="E53" s="6" t="inlineStr">
        <is>
          <t>10%-90% of window-averaged swing. Inspect transient plateaus. Not follower slew rates.</t>
        </is>
      </c>
    </row>
    <row r="54">
      <c r="A54" s="2" t="inlineStr">
        <is>
          <t>Definition</t>
        </is>
      </c>
      <c r="B54" s="2" t="inlineStr">
        <is>
          <t>Missing metric</t>
        </is>
      </c>
      <c r="C54" s="2" t="inlineStr">
        <is>
          <t>nan</t>
        </is>
      </c>
      <c r="D54" s="2" t="inlineStr"/>
      <c r="E54" s="2" t="inlineStr">
        <is>
          <t>No fabricated zero; valid negative metrics are retained</t>
        </is>
      </c>
    </row>
    <row r="55">
      <c r="A55" s="6" t="inlineStr">
        <is>
          <t>Definition</t>
        </is>
      </c>
      <c r="B55" s="6" t="inlineStr">
        <is>
          <t>Transient initial point</t>
        </is>
      </c>
      <c r="C55" s="6" t="inlineStr">
        <is>
          <t>Separate from the quiet DC snapshot</t>
        </is>
      </c>
      <c r="D55" s="6" t="inlineStr"/>
      <c r="E55" s="6" t="inlineStr">
        <is>
          <t>Differential pulse starts at INPUT_VDIFF+SR_DIFF_LOW; fixed input common mode</t>
        </is>
      </c>
    </row>
  </sheetData>
  <autoFilter ref="A1:E5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2026-10-10T03:27:32Z</dcterms:created>
  <dcterms:modified xsi:type="dcterms:W3CDTF">2026-10-10T03:27:32Z</dcterms:modified>
</cp:coreProperties>
</file>