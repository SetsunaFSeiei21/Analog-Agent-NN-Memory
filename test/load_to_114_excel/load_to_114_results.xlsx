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_Operating_Point" sheetId="1" state="visible" r:id="rId1"/>
    <sheet name="MOS_Capacitances" sheetId="2" state="visible" r:id="rId2"/>
    <sheet name="Metrics" sheetId="3" state="visible" r:id="rId3"/>
    <sheet name="Setup" sheetId="4" state="visible" r:id="rId4"/>
  </sheets>
  <definedNames>
    <definedName name="_xlnm._FilterDatabase" localSheetId="0" hidden="1">'DC_Operating_Point'!$A$1:$AC$17</definedName>
    <definedName name="_xlnm._FilterDatabase" localSheetId="1" hidden="1">'MOS_Capacitances'!$A$1:$Y$17</definedName>
    <definedName name="_xlnm._FilterDatabase" localSheetId="2" hidden="1">'Metrics'!$A$1:$C$10</definedName>
    <definedName name="_xlnm._FilterDatabase" localSheetId="3" hidden="1">'Setup'!$A$1:$E$49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E+00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72B4D"/>
      <sz val="10"/>
    </font>
  </fonts>
  <fills count="4">
    <fill>
      <patternFill/>
    </fill>
    <fill>
      <patternFill patternType="gray125"/>
    </fill>
    <fill>
      <patternFill patternType="solid">
        <fgColor rgb="00253B55"/>
      </patternFill>
    </fill>
    <fill>
      <patternFill patternType="solid">
        <fgColor rgb="00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165" fontId="2" fillId="3" borderId="0" applyAlignment="1" pivotButton="0" quotePrefix="0" xfId="0">
      <alignment horizontal="right" vertical="center"/>
    </xf>
    <xf numFmtId="1" fontId="2" fillId="3" borderId="0" applyAlignment="1" pivotButton="0" quotePrefix="0" xfId="0">
      <alignment horizontal="right" vertical="center"/>
    </xf>
    <xf numFmtId="164" fontId="2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right" vertical="center"/>
    </xf>
    <xf numFmtId="1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6" customWidth="1" min="25" max="25"/>
    <col width="16" customWidth="1" min="26" max="26"/>
    <col width="16" customWidth="1" min="27" max="27"/>
    <col width="16" customWidth="1" min="28" max="28"/>
    <col width="21" customWidth="1" min="29" max="29"/>
  </cols>
  <sheetData>
    <row r="1" ht="34" customHeight="1">
      <c r="A1" s="1" t="inlineStr">
        <is>
          <t>Device</t>
        </is>
      </c>
      <c r="B1" s="1" t="inlineStr">
        <is>
          <t>MOS_Type</t>
        </is>
      </c>
      <c r="C1" s="1" t="inlineStr">
        <is>
          <t>Model</t>
        </is>
      </c>
      <c r="D1" s="1" t="inlineStr">
        <is>
          <t>D_Node</t>
        </is>
      </c>
      <c r="E1" s="1" t="inlineStr">
        <is>
          <t>G_Node</t>
        </is>
      </c>
      <c r="F1" s="1" t="inlineStr">
        <is>
          <t>S_Node</t>
        </is>
      </c>
      <c r="G1" s="1" t="inlineStr">
        <is>
          <t>B_Node</t>
        </is>
      </c>
      <c r="H1" s="1" t="inlineStr">
        <is>
          <t>W_um</t>
        </is>
      </c>
      <c r="I1" s="1" t="inlineStr">
        <is>
          <t>L_um</t>
        </is>
      </c>
      <c r="J1" s="1" t="inlineStr">
        <is>
          <t>M</t>
        </is>
      </c>
      <c r="K1" s="1" t="inlineStr">
        <is>
          <t>VD_V</t>
        </is>
      </c>
      <c r="L1" s="1" t="inlineStr">
        <is>
          <t>VG_V</t>
        </is>
      </c>
      <c r="M1" s="1" t="inlineStr">
        <is>
          <t>VS_V</t>
        </is>
      </c>
      <c r="N1" s="1" t="inlineStr">
        <is>
          <t>VB_V</t>
        </is>
      </c>
      <c r="O1" s="1" t="inlineStr">
        <is>
          <t>VGS_V</t>
        </is>
      </c>
      <c r="P1" s="1" t="inlineStr">
        <is>
          <t>VDS_V</t>
        </is>
      </c>
      <c r="Q1" s="1" t="inlineStr">
        <is>
          <t>VBS_V</t>
        </is>
      </c>
      <c r="R1" s="1" t="inlineStr">
        <is>
          <t>Id_model_A</t>
        </is>
      </c>
      <c r="S1" s="1" t="inlineStr">
        <is>
          <t>gm_S</t>
        </is>
      </c>
      <c r="T1" s="1" t="inlineStr">
        <is>
          <t>gds_S</t>
        </is>
      </c>
      <c r="U1" s="1" t="inlineStr">
        <is>
          <t>gmbs_S</t>
        </is>
      </c>
      <c r="V1" s="1" t="inlineStr">
        <is>
          <t>Vth_model_V</t>
        </is>
      </c>
      <c r="W1" s="1" t="inlineStr">
        <is>
          <t>Vdsat_model_V</t>
        </is>
      </c>
      <c r="X1" s="1" t="inlineStr">
        <is>
          <t>gm_over_Id_per_V</t>
        </is>
      </c>
      <c r="Y1" s="1" t="inlineStr">
        <is>
          <t>gm_over_gds</t>
        </is>
      </c>
      <c r="Z1" s="1" t="inlineStr">
        <is>
          <t>ro_Ohm</t>
        </is>
      </c>
      <c r="AA1" s="1" t="inlineStr">
        <is>
          <t>VDS_oriented_V</t>
        </is>
      </c>
      <c r="AB1" s="1" t="inlineStr">
        <is>
          <t>Vov_est_V</t>
        </is>
      </c>
      <c r="AC1" s="1" t="inlineStr">
        <is>
          <t>Saturation_margin_V</t>
        </is>
      </c>
    </row>
    <row r="2">
      <c r="A2" s="2" t="inlineStr">
        <is>
          <t>XNM1</t>
        </is>
      </c>
      <c r="B2" s="2" t="inlineStr">
        <is>
          <t>NMOS</t>
        </is>
      </c>
      <c r="C2" s="2" t="inlineStr">
        <is>
          <t>sky130_fd_pr__nfet_01v8_lvt</t>
        </is>
      </c>
      <c r="D2" s="2" t="inlineStr">
        <is>
          <t>VBIAS</t>
        </is>
      </c>
      <c r="E2" s="2" t="inlineStr">
        <is>
          <t>VBIAS</t>
        </is>
      </c>
      <c r="F2" s="2" t="inlineStr">
        <is>
          <t>VSS</t>
        </is>
      </c>
      <c r="G2" s="2" t="inlineStr">
        <is>
          <t>VSS</t>
        </is>
      </c>
      <c r="H2" s="3" t="n">
        <v>8.199999999999999</v>
      </c>
      <c r="I2" s="3" t="n">
        <v>0.9099999999999999</v>
      </c>
      <c r="J2" s="4" t="n">
        <v>1</v>
      </c>
      <c r="K2" s="5" t="n">
        <v>0.4963256620163061</v>
      </c>
      <c r="L2" s="5" t="n">
        <v>0.4963256620163061</v>
      </c>
      <c r="M2" s="5" t="n">
        <v>0</v>
      </c>
      <c r="N2" s="5" t="n">
        <v>0</v>
      </c>
      <c r="O2" s="5" t="n">
        <v>0.4963256620163061</v>
      </c>
      <c r="P2" s="5" t="n">
        <v>0.4963256620163061</v>
      </c>
      <c r="Q2" s="5" t="n">
        <v>0</v>
      </c>
      <c r="R2" s="5" t="n">
        <v>3.499999493674167e-06</v>
      </c>
      <c r="S2" s="5" t="n">
        <v>7.263656483516337e-05</v>
      </c>
      <c r="T2" s="5" t="n">
        <v>8.524046119152992e-07</v>
      </c>
      <c r="U2" s="5" t="n">
        <v>1.330357805377213e-05</v>
      </c>
      <c r="V2" s="5" t="n">
        <v>0.4861545928541783</v>
      </c>
      <c r="W2" s="5" t="n">
        <v>0.06529683851072887</v>
      </c>
      <c r="X2" s="5">
        <f>IF(ABS(R2)&gt;0,ABS(S2)/ABS(R2),"nan")</f>
        <v/>
      </c>
      <c r="Y2" s="5">
        <f>IF(ABS(T2)&gt;0,ABS(S2)/ABS(T2),"nan")</f>
        <v/>
      </c>
      <c r="Z2" s="5">
        <f>IF(ABS(T2)&gt;0,1/ABS(T2),"nan")</f>
        <v/>
      </c>
      <c r="AA2" s="5">
        <f>IF(B2="PMOS",-P2,P2)</f>
        <v/>
      </c>
      <c r="AB2" s="5">
        <f>IF(B2="PMOS",-O2,O2)-ABS(V2)</f>
        <v/>
      </c>
      <c r="AC2" s="5">
        <f>AA2-ABS(W2)</f>
        <v/>
      </c>
    </row>
    <row r="3">
      <c r="A3" s="6" t="inlineStr">
        <is>
          <t>XNM7</t>
        </is>
      </c>
      <c r="B3" s="6" t="inlineStr">
        <is>
          <t>NMOS</t>
        </is>
      </c>
      <c r="C3" s="6" t="inlineStr">
        <is>
          <t>sky130_fd_pr__nfet_01v8_lvt</t>
        </is>
      </c>
      <c r="D3" s="6" t="inlineStr">
        <is>
          <t>N7</t>
        </is>
      </c>
      <c r="E3" s="6" t="inlineStr">
        <is>
          <t>VBIAS</t>
        </is>
      </c>
      <c r="F3" s="6" t="inlineStr">
        <is>
          <t>VSS</t>
        </is>
      </c>
      <c r="G3" s="6" t="inlineStr">
        <is>
          <t>VSS</t>
        </is>
      </c>
      <c r="H3" s="7" t="n">
        <v>8.199999999999999</v>
      </c>
      <c r="I3" s="7" t="n">
        <v>0.9099999999999999</v>
      </c>
      <c r="J3" s="8" t="n">
        <v>1</v>
      </c>
      <c r="K3" s="9" t="n">
        <v>1.087324463051915</v>
      </c>
      <c r="L3" s="9" t="n">
        <v>0.4963256620163061</v>
      </c>
      <c r="M3" s="9" t="n">
        <v>0</v>
      </c>
      <c r="N3" s="9" t="n">
        <v>0</v>
      </c>
      <c r="O3" s="9" t="n">
        <v>0.4963256620163061</v>
      </c>
      <c r="P3" s="9" t="n">
        <v>1.087324463051915</v>
      </c>
      <c r="Q3" s="9" t="n">
        <v>0</v>
      </c>
      <c r="R3" s="9" t="n">
        <v>3.982213120459647e-06</v>
      </c>
      <c r="S3" s="9" t="n">
        <v>8.019064182683994e-05</v>
      </c>
      <c r="T3" s="9" t="n">
        <v>7.977837481593548e-07</v>
      </c>
      <c r="U3" s="9" t="n">
        <v>1.463916616750913e-05</v>
      </c>
      <c r="V3" s="9" t="n">
        <v>0.4861545928499538</v>
      </c>
      <c r="W3" s="9" t="n">
        <v>0.06529672715429019</v>
      </c>
      <c r="X3" s="9">
        <f>IF(ABS(R3)&gt;0,ABS(S3)/ABS(R3),"nan")</f>
        <v/>
      </c>
      <c r="Y3" s="9">
        <f>IF(ABS(T3)&gt;0,ABS(S3)/ABS(T3),"nan")</f>
        <v/>
      </c>
      <c r="Z3" s="9">
        <f>IF(ABS(T3)&gt;0,1/ABS(T3),"nan")</f>
        <v/>
      </c>
      <c r="AA3" s="9">
        <f>IF(B3="PMOS",-P3,P3)</f>
        <v/>
      </c>
      <c r="AB3" s="9">
        <f>IF(B3="PMOS",-O3,O3)-ABS(V3)</f>
        <v/>
      </c>
      <c r="AC3" s="9">
        <f>AA3-ABS(W3)</f>
        <v/>
      </c>
    </row>
    <row r="4">
      <c r="A4" s="2" t="inlineStr">
        <is>
          <t>XPM5</t>
        </is>
      </c>
      <c r="B4" s="2" t="inlineStr">
        <is>
          <t>PMOS</t>
        </is>
      </c>
      <c r="C4" s="2" t="inlineStr">
        <is>
          <t>sky130_fd_pr__pfet_01v8_lvt</t>
        </is>
      </c>
      <c r="D4" s="2" t="inlineStr">
        <is>
          <t>N7</t>
        </is>
      </c>
      <c r="E4" s="2" t="inlineStr">
        <is>
          <t>N7</t>
        </is>
      </c>
      <c r="F4" s="2" t="inlineStr">
        <is>
          <t>VDD</t>
        </is>
      </c>
      <c r="G4" s="2" t="inlineStr">
        <is>
          <t>VDD</t>
        </is>
      </c>
      <c r="H4" s="3" t="n">
        <v>1.16</v>
      </c>
      <c r="I4" s="3" t="n">
        <v>0.73</v>
      </c>
      <c r="J4" s="4" t="n">
        <v>1</v>
      </c>
      <c r="K4" s="5" t="n">
        <v>1.087324463051915</v>
      </c>
      <c r="L4" s="5" t="n">
        <v>1.087324463051915</v>
      </c>
      <c r="M4" s="5" t="n">
        <v>1.8</v>
      </c>
      <c r="N4" s="5" t="n">
        <v>1.8</v>
      </c>
      <c r="O4" s="5" t="n">
        <v>-0.7126755369480851</v>
      </c>
      <c r="P4" s="5" t="n">
        <v>-0.7126755369480851</v>
      </c>
      <c r="Q4" s="5" t="n">
        <v>0</v>
      </c>
      <c r="R4" s="5" t="n">
        <v>3.982213701442718e-06</v>
      </c>
      <c r="S4" s="5" t="n">
        <v>2.392363587846509e-05</v>
      </c>
      <c r="T4" s="5" t="n">
        <v>7.251242683022501e-07</v>
      </c>
      <c r="U4" s="5" t="n">
        <v>4.797845861494215e-06</v>
      </c>
      <c r="V4" s="5" t="n">
        <v>0.3810680933650904</v>
      </c>
      <c r="W4" s="5" t="n">
        <v>0.2957913794574585</v>
      </c>
      <c r="X4" s="5">
        <f>IF(ABS(R4)&gt;0,ABS(S4)/ABS(R4),"nan")</f>
        <v/>
      </c>
      <c r="Y4" s="5">
        <f>IF(ABS(T4)&gt;0,ABS(S4)/ABS(T4),"nan")</f>
        <v/>
      </c>
      <c r="Z4" s="5">
        <f>IF(ABS(T4)&gt;0,1/ABS(T4),"nan")</f>
        <v/>
      </c>
      <c r="AA4" s="5">
        <f>IF(B4="PMOS",-P4,P4)</f>
        <v/>
      </c>
      <c r="AB4" s="5">
        <f>IF(B4="PMOS",-O4,O4)-ABS(V4)</f>
        <v/>
      </c>
      <c r="AC4" s="5">
        <f>AA4-ABS(W4)</f>
        <v/>
      </c>
    </row>
    <row r="5">
      <c r="A5" s="6" t="inlineStr">
        <is>
          <t>XPM17</t>
        </is>
      </c>
      <c r="B5" s="6" t="inlineStr">
        <is>
          <t>PMOS</t>
        </is>
      </c>
      <c r="C5" s="6" t="inlineStr">
        <is>
          <t>sky130_fd_pr__pfet_01v8_lvt</t>
        </is>
      </c>
      <c r="D5" s="6" t="inlineStr">
        <is>
          <t>N2</t>
        </is>
      </c>
      <c r="E5" s="6" t="inlineStr">
        <is>
          <t>N7</t>
        </is>
      </c>
      <c r="F5" s="6" t="inlineStr">
        <is>
          <t>VDD</t>
        </is>
      </c>
      <c r="G5" s="6" t="inlineStr">
        <is>
          <t>VDD</t>
        </is>
      </c>
      <c r="H5" s="7" t="n">
        <v>1.16</v>
      </c>
      <c r="I5" s="7" t="n">
        <v>0.73</v>
      </c>
      <c r="J5" s="8" t="n">
        <v>1</v>
      </c>
      <c r="K5" s="9" t="n">
        <v>0.6024820298746473</v>
      </c>
      <c r="L5" s="9" t="n">
        <v>1.087324463051915</v>
      </c>
      <c r="M5" s="9" t="n">
        <v>1.8</v>
      </c>
      <c r="N5" s="9" t="n">
        <v>1.8</v>
      </c>
      <c r="O5" s="9" t="n">
        <v>-0.7126755369480851</v>
      </c>
      <c r="P5" s="9" t="n">
        <v>-1.197517970125353</v>
      </c>
      <c r="Q5" s="9" t="n">
        <v>0</v>
      </c>
      <c r="R5" s="9" t="n">
        <v>4.286779261292084e-06</v>
      </c>
      <c r="S5" s="9" t="n">
        <v>2.524816320327178e-05</v>
      </c>
      <c r="T5" s="9" t="n">
        <v>5.851436342258211e-07</v>
      </c>
      <c r="U5" s="9" t="n">
        <v>4.996311141443239e-06</v>
      </c>
      <c r="V5" s="9" t="n">
        <v>0.3810680933521214</v>
      </c>
      <c r="W5" s="9" t="n">
        <v>0.2957913794670545</v>
      </c>
      <c r="X5" s="9">
        <f>IF(ABS(R5)&gt;0,ABS(S5)/ABS(R5),"nan")</f>
        <v/>
      </c>
      <c r="Y5" s="9">
        <f>IF(ABS(T5)&gt;0,ABS(S5)/ABS(T5),"nan")</f>
        <v/>
      </c>
      <c r="Z5" s="9">
        <f>IF(ABS(T5)&gt;0,1/ABS(T5),"nan")</f>
        <v/>
      </c>
      <c r="AA5" s="9">
        <f>IF(B5="PMOS",-P5,P5)</f>
        <v/>
      </c>
      <c r="AB5" s="9">
        <f>IF(B5="PMOS",-O5,O5)-ABS(V5)</f>
        <v/>
      </c>
      <c r="AC5" s="9">
        <f>AA5-ABS(W5)</f>
        <v/>
      </c>
    </row>
    <row r="6">
      <c r="A6" s="2" t="inlineStr">
        <is>
          <t>XPM18</t>
        </is>
      </c>
      <c r="B6" s="2" t="inlineStr">
        <is>
          <t>PMOS</t>
        </is>
      </c>
      <c r="C6" s="2" t="inlineStr">
        <is>
          <t>sky130_fd_pr__pfet_01v8_lvt</t>
        </is>
      </c>
      <c r="D6" s="2" t="inlineStr">
        <is>
          <t>N0</t>
        </is>
      </c>
      <c r="E6" s="2" t="inlineStr">
        <is>
          <t>N7</t>
        </is>
      </c>
      <c r="F6" s="2" t="inlineStr">
        <is>
          <t>VDD</t>
        </is>
      </c>
      <c r="G6" s="2" t="inlineStr">
        <is>
          <t>VDD</t>
        </is>
      </c>
      <c r="H6" s="3" t="n">
        <v>1.16</v>
      </c>
      <c r="I6" s="3" t="n">
        <v>0.73</v>
      </c>
      <c r="J6" s="4" t="n">
        <v>1</v>
      </c>
      <c r="K6" s="5" t="n">
        <v>0.6160341309949253</v>
      </c>
      <c r="L6" s="5" t="n">
        <v>1.087324463051915</v>
      </c>
      <c r="M6" s="5" t="n">
        <v>1.8</v>
      </c>
      <c r="N6" s="5" t="n">
        <v>1.8</v>
      </c>
      <c r="O6" s="5" t="n">
        <v>-0.7126755369480851</v>
      </c>
      <c r="P6" s="5" t="n">
        <v>-1.183965869005075</v>
      </c>
      <c r="Q6" s="5" t="n">
        <v>0</v>
      </c>
      <c r="R6" s="5" t="n">
        <v>4.27884236327085e-06</v>
      </c>
      <c r="S6" s="5" t="n">
        <v>2.521689146072495e-05</v>
      </c>
      <c r="T6" s="5" t="n">
        <v>5.86181538508088e-07</v>
      </c>
      <c r="U6" s="5" t="n">
        <v>4.992005953951933e-06</v>
      </c>
      <c r="V6" s="5" t="n">
        <v>0.3810680933524858</v>
      </c>
      <c r="W6" s="5" t="n">
        <v>0.2957913794667862</v>
      </c>
      <c r="X6" s="5">
        <f>IF(ABS(R6)&gt;0,ABS(S6)/ABS(R6),"nan")</f>
        <v/>
      </c>
      <c r="Y6" s="5">
        <f>IF(ABS(T6)&gt;0,ABS(S6)/ABS(T6),"nan")</f>
        <v/>
      </c>
      <c r="Z6" s="5">
        <f>IF(ABS(T6)&gt;0,1/ABS(T6),"nan")</f>
        <v/>
      </c>
      <c r="AA6" s="5">
        <f>IF(B6="PMOS",-P6,P6)</f>
        <v/>
      </c>
      <c r="AB6" s="5">
        <f>IF(B6="PMOS",-O6,O6)-ABS(V6)</f>
        <v/>
      </c>
      <c r="AC6" s="5">
        <f>AA6-ABS(W6)</f>
        <v/>
      </c>
    </row>
    <row r="7">
      <c r="A7" s="6" t="inlineStr">
        <is>
          <t>XNM2</t>
        </is>
      </c>
      <c r="B7" s="6" t="inlineStr">
        <is>
          <t>NMOS</t>
        </is>
      </c>
      <c r="C7" s="6" t="inlineStr">
        <is>
          <t>sky130_fd_pr__nfet_01v8_lvt</t>
        </is>
      </c>
      <c r="D7" s="6" t="inlineStr">
        <is>
          <t>N2</t>
        </is>
      </c>
      <c r="E7" s="6" t="inlineStr">
        <is>
          <t>N2</t>
        </is>
      </c>
      <c r="F7" s="6" t="inlineStr">
        <is>
          <t>VSS</t>
        </is>
      </c>
      <c r="G7" s="6" t="inlineStr">
        <is>
          <t>VSS</t>
        </is>
      </c>
      <c r="H7" s="7" t="n">
        <v>1.78</v>
      </c>
      <c r="I7" s="7" t="n">
        <v>0.71</v>
      </c>
      <c r="J7" s="8" t="n">
        <v>1</v>
      </c>
      <c r="K7" s="9" t="n">
        <v>0.6024820298746473</v>
      </c>
      <c r="L7" s="9" t="n">
        <v>0.6024820298746473</v>
      </c>
      <c r="M7" s="9" t="n">
        <v>0</v>
      </c>
      <c r="N7" s="9" t="n">
        <v>0</v>
      </c>
      <c r="O7" s="9" t="n">
        <v>0.6024820298746473</v>
      </c>
      <c r="P7" s="9" t="n">
        <v>0.6024820298746473</v>
      </c>
      <c r="Q7" s="9" t="n">
        <v>0</v>
      </c>
      <c r="R7" s="9" t="n">
        <v>4.286779859521715e-06</v>
      </c>
      <c r="S7" s="9" t="n">
        <v>6.157379997387313e-05</v>
      </c>
      <c r="T7" s="9" t="n">
        <v>7.505370637436343e-07</v>
      </c>
      <c r="U7" s="9" t="n">
        <v>1.115632561786973e-05</v>
      </c>
      <c r="V7" s="9" t="n">
        <v>0.5063329618000563</v>
      </c>
      <c r="W7" s="9" t="n">
        <v>0.1169300629160097</v>
      </c>
      <c r="X7" s="9">
        <f>IF(ABS(R7)&gt;0,ABS(S7)/ABS(R7),"nan")</f>
        <v/>
      </c>
      <c r="Y7" s="9">
        <f>IF(ABS(T7)&gt;0,ABS(S7)/ABS(T7),"nan")</f>
        <v/>
      </c>
      <c r="Z7" s="9">
        <f>IF(ABS(T7)&gt;0,1/ABS(T7),"nan")</f>
        <v/>
      </c>
      <c r="AA7" s="9">
        <f>IF(B7="PMOS",-P7,P7)</f>
        <v/>
      </c>
      <c r="AB7" s="9">
        <f>IF(B7="PMOS",-O7,O7)-ABS(V7)</f>
        <v/>
      </c>
      <c r="AC7" s="9">
        <f>AA7-ABS(W7)</f>
        <v/>
      </c>
    </row>
    <row r="8">
      <c r="A8" s="2" t="inlineStr">
        <is>
          <t>XNM10</t>
        </is>
      </c>
      <c r="B8" s="2" t="inlineStr">
        <is>
          <t>NMOS</t>
        </is>
      </c>
      <c r="C8" s="2" t="inlineStr">
        <is>
          <t>sky130_fd_pr__nfet_01v8_lvt</t>
        </is>
      </c>
      <c r="D8" s="2" t="inlineStr">
        <is>
          <t>N1</t>
        </is>
      </c>
      <c r="E8" s="2" t="inlineStr">
        <is>
          <t>N2</t>
        </is>
      </c>
      <c r="F8" s="2" t="inlineStr">
        <is>
          <t>VSS</t>
        </is>
      </c>
      <c r="G8" s="2" t="inlineStr">
        <is>
          <t>VSS</t>
        </is>
      </c>
      <c r="H8" s="3" t="n">
        <v>1.78</v>
      </c>
      <c r="I8" s="3" t="n">
        <v>0.71</v>
      </c>
      <c r="J8" s="4" t="n">
        <v>71</v>
      </c>
      <c r="K8" s="5" t="n">
        <v>0.07192244020423517</v>
      </c>
      <c r="L8" s="5" t="n">
        <v>0.6024820298746473</v>
      </c>
      <c r="M8" s="5" t="n">
        <v>0</v>
      </c>
      <c r="N8" s="5" t="n">
        <v>0</v>
      </c>
      <c r="O8" s="5" t="n">
        <v>0.6024820298746473</v>
      </c>
      <c r="P8" s="5" t="n">
        <v>0.07192244020423517</v>
      </c>
      <c r="Q8" s="5" t="n">
        <v>0</v>
      </c>
      <c r="R8" s="5" t="n">
        <v>0.00020410937458743</v>
      </c>
      <c r="S8" s="5" t="n">
        <v>0.002444440429916133</v>
      </c>
      <c r="T8" s="5" t="n">
        <v>0.001659497185685908</v>
      </c>
      <c r="U8" s="5" t="n">
        <v>0.0004538975980792657</v>
      </c>
      <c r="V8" s="5" t="n">
        <v>0.5063329618343244</v>
      </c>
      <c r="W8" s="5" t="n">
        <v>0.1169305459741813</v>
      </c>
      <c r="X8" s="5">
        <f>IF(ABS(R8)&gt;0,ABS(S8)/ABS(R8),"nan")</f>
        <v/>
      </c>
      <c r="Y8" s="5">
        <f>IF(ABS(T8)&gt;0,ABS(S8)/ABS(T8),"nan")</f>
        <v/>
      </c>
      <c r="Z8" s="5">
        <f>IF(ABS(T8)&gt;0,1/ABS(T8),"nan")</f>
        <v/>
      </c>
      <c r="AA8" s="5">
        <f>IF(B8="PMOS",-P8,P8)</f>
        <v/>
      </c>
      <c r="AB8" s="5">
        <f>IF(B8="PMOS",-O8,O8)-ABS(V8)</f>
        <v/>
      </c>
      <c r="AC8" s="5">
        <f>AA8-ABS(W8)</f>
        <v/>
      </c>
    </row>
    <row r="9">
      <c r="A9" s="6" t="inlineStr">
        <is>
          <t>XNM4</t>
        </is>
      </c>
      <c r="B9" s="6" t="inlineStr">
        <is>
          <t>NMOS</t>
        </is>
      </c>
      <c r="C9" s="6" t="inlineStr">
        <is>
          <t>sky130_fd_pr__nfet_01v8_lvt</t>
        </is>
      </c>
      <c r="D9" s="6" t="inlineStr">
        <is>
          <t>N0</t>
        </is>
      </c>
      <c r="E9" s="6" t="inlineStr">
        <is>
          <t>N0</t>
        </is>
      </c>
      <c r="F9" s="6" t="inlineStr">
        <is>
          <t>N1</t>
        </is>
      </c>
      <c r="G9" s="6" t="inlineStr">
        <is>
          <t>VSS</t>
        </is>
      </c>
      <c r="H9" s="7" t="n">
        <v>0.67</v>
      </c>
      <c r="I9" s="7" t="n">
        <v>0.9299999999999999</v>
      </c>
      <c r="J9" s="8" t="n">
        <v>11</v>
      </c>
      <c r="K9" s="9" t="n">
        <v>0.6160341309949253</v>
      </c>
      <c r="L9" s="9" t="n">
        <v>0.6160341309949253</v>
      </c>
      <c r="M9" s="9" t="n">
        <v>0.07192244020423517</v>
      </c>
      <c r="N9" s="9" t="n">
        <v>0</v>
      </c>
      <c r="O9" s="9" t="n">
        <v>0.5441116907906901</v>
      </c>
      <c r="P9" s="9" t="n">
        <v>0.5441116907906901</v>
      </c>
      <c r="Q9" s="9" t="n">
        <v>-0.07192244020423517</v>
      </c>
      <c r="R9" s="9" t="n">
        <v>4.278836673705439e-06</v>
      </c>
      <c r="S9" s="9" t="n">
        <v>8.151723540908144e-05</v>
      </c>
      <c r="T9" s="9" t="n">
        <v>1.160527399244991e-06</v>
      </c>
      <c r="U9" s="9" t="n">
        <v>1.425419426271686e-05</v>
      </c>
      <c r="V9" s="9" t="n">
        <v>0.5137549229541877</v>
      </c>
      <c r="W9" s="9" t="n">
        <v>0.07875531985662865</v>
      </c>
      <c r="X9" s="9">
        <f>IF(ABS(R9)&gt;0,ABS(S9)/ABS(R9),"nan")</f>
        <v/>
      </c>
      <c r="Y9" s="9">
        <f>IF(ABS(T9)&gt;0,ABS(S9)/ABS(T9),"nan")</f>
        <v/>
      </c>
      <c r="Z9" s="9">
        <f>IF(ABS(T9)&gt;0,1/ABS(T9),"nan")</f>
        <v/>
      </c>
      <c r="AA9" s="9">
        <f>IF(B9="PMOS",-P9,P9)</f>
        <v/>
      </c>
      <c r="AB9" s="9">
        <f>IF(B9="PMOS",-O9,O9)-ABS(V9)</f>
        <v/>
      </c>
      <c r="AC9" s="9">
        <f>AA9-ABS(W9)</f>
        <v/>
      </c>
    </row>
    <row r="10">
      <c r="A10" s="2" t="inlineStr">
        <is>
          <t>XNM12</t>
        </is>
      </c>
      <c r="B10" s="2" t="inlineStr">
        <is>
          <t>NMOS</t>
        </is>
      </c>
      <c r="C10" s="2" t="inlineStr">
        <is>
          <t>sky130_fd_pr__nfet_01v8_lvt</t>
        </is>
      </c>
      <c r="D10" s="2" t="inlineStr">
        <is>
          <t>N4</t>
        </is>
      </c>
      <c r="E10" s="2" t="inlineStr">
        <is>
          <t>VINN</t>
        </is>
      </c>
      <c r="F10" s="2" t="inlineStr">
        <is>
          <t>N1</t>
        </is>
      </c>
      <c r="G10" s="2" t="inlineStr">
        <is>
          <t>VSS</t>
        </is>
      </c>
      <c r="H10" s="3" t="n">
        <v>7.38</v>
      </c>
      <c r="I10" s="3" t="n">
        <v>0.8599999999999999</v>
      </c>
      <c r="J10" s="4" t="n">
        <v>35</v>
      </c>
      <c r="K10" s="5" t="n">
        <v>0.07538444152664431</v>
      </c>
      <c r="L10" s="5" t="n">
        <v>0.9322371439822206</v>
      </c>
      <c r="M10" s="5" t="n">
        <v>0.07192244020423517</v>
      </c>
      <c r="N10" s="5" t="n">
        <v>0</v>
      </c>
      <c r="O10" s="5" t="n">
        <v>0.8603147037779854</v>
      </c>
      <c r="P10" s="5" t="n">
        <v>0.003462001322409133</v>
      </c>
      <c r="Q10" s="5" t="n">
        <v>-0.07192244020423517</v>
      </c>
      <c r="R10" s="5" t="n">
        <v>0.0001031018268309735</v>
      </c>
      <c r="S10" s="5" t="n">
        <v>0.0002944549533101927</v>
      </c>
      <c r="T10" s="5" t="n">
        <v>0.02960904913152068</v>
      </c>
      <c r="U10" s="5" t="n">
        <v>5.625565130736473e-05</v>
      </c>
      <c r="V10" s="5" t="n">
        <v>0.5029170260636951</v>
      </c>
      <c r="W10" s="5" t="n">
        <v>0.2804048465400666</v>
      </c>
      <c r="X10" s="5">
        <f>IF(ABS(R10)&gt;0,ABS(S10)/ABS(R10),"nan")</f>
        <v/>
      </c>
      <c r="Y10" s="5">
        <f>IF(ABS(T10)&gt;0,ABS(S10)/ABS(T10),"nan")</f>
        <v/>
      </c>
      <c r="Z10" s="5">
        <f>IF(ABS(T10)&gt;0,1/ABS(T10),"nan")</f>
        <v/>
      </c>
      <c r="AA10" s="5">
        <f>IF(B10="PMOS",-P10,P10)</f>
        <v/>
      </c>
      <c r="AB10" s="5">
        <f>IF(B10="PMOS",-O10,O10)-ABS(V10)</f>
        <v/>
      </c>
      <c r="AC10" s="5">
        <f>AA10-ABS(W10)</f>
        <v/>
      </c>
    </row>
    <row r="11">
      <c r="A11" s="6" t="inlineStr">
        <is>
          <t>XNM13</t>
        </is>
      </c>
      <c r="B11" s="6" t="inlineStr">
        <is>
          <t>NMOS</t>
        </is>
      </c>
      <c r="C11" s="6" t="inlineStr">
        <is>
          <t>sky130_fd_pr__nfet_01v8_lvt</t>
        </is>
      </c>
      <c r="D11" s="6" t="inlineStr">
        <is>
          <t>N6</t>
        </is>
      </c>
      <c r="E11" s="6" t="inlineStr">
        <is>
          <t>VINP</t>
        </is>
      </c>
      <c r="F11" s="6" t="inlineStr">
        <is>
          <t>N1</t>
        </is>
      </c>
      <c r="G11" s="6" t="inlineStr">
        <is>
          <t>VSS</t>
        </is>
      </c>
      <c r="H11" s="7" t="n">
        <v>7.38</v>
      </c>
      <c r="I11" s="7" t="n">
        <v>0.8599999999999999</v>
      </c>
      <c r="J11" s="8" t="n">
        <v>35</v>
      </c>
      <c r="K11" s="9" t="n">
        <v>0.08046445878913649</v>
      </c>
      <c r="L11" s="9" t="n">
        <v>0.72</v>
      </c>
      <c r="M11" s="9" t="n">
        <v>0.07192244020423517</v>
      </c>
      <c r="N11" s="9" t="n">
        <v>0</v>
      </c>
      <c r="O11" s="9" t="n">
        <v>0.6480775597957648</v>
      </c>
      <c r="P11" s="9" t="n">
        <v>0.00854201858490132</v>
      </c>
      <c r="Q11" s="9" t="n">
        <v>-0.07192244020423517</v>
      </c>
      <c r="R11" s="9" t="n">
        <v>9.672872335807687e-05</v>
      </c>
      <c r="S11" s="9" t="n">
        <v>0.0007024252668896803</v>
      </c>
      <c r="T11" s="9" t="n">
        <v>0.01098185343564435</v>
      </c>
      <c r="U11" s="9" t="n">
        <v>0.0001294586262986916</v>
      </c>
      <c r="V11" s="9" t="n">
        <v>0.5029170260636603</v>
      </c>
      <c r="W11" s="9" t="n">
        <v>0.1450303838179968</v>
      </c>
      <c r="X11" s="9">
        <f>IF(ABS(R11)&gt;0,ABS(S11)/ABS(R11),"nan")</f>
        <v/>
      </c>
      <c r="Y11" s="9">
        <f>IF(ABS(T11)&gt;0,ABS(S11)/ABS(T11),"nan")</f>
        <v/>
      </c>
      <c r="Z11" s="9">
        <f>IF(ABS(T11)&gt;0,1/ABS(T11),"nan")</f>
        <v/>
      </c>
      <c r="AA11" s="9">
        <f>IF(B11="PMOS",-P11,P11)</f>
        <v/>
      </c>
      <c r="AB11" s="9">
        <f>IF(B11="PMOS",-O11,O11)-ABS(V11)</f>
        <v/>
      </c>
      <c r="AC11" s="9">
        <f>AA11-ABS(W11)</f>
        <v/>
      </c>
    </row>
    <row r="12">
      <c r="A12" s="2" t="inlineStr">
        <is>
          <t>XNM11</t>
        </is>
      </c>
      <c r="B12" s="2" t="inlineStr">
        <is>
          <t>NMOS</t>
        </is>
      </c>
      <c r="C12" s="2" t="inlineStr">
        <is>
          <t>sky130_fd_pr__nfet_01v8_lvt</t>
        </is>
      </c>
      <c r="D12" s="2" t="inlineStr">
        <is>
          <t>N3</t>
        </is>
      </c>
      <c r="E12" s="2" t="inlineStr">
        <is>
          <t>N0</t>
        </is>
      </c>
      <c r="F12" s="2" t="inlineStr">
        <is>
          <t>N4</t>
        </is>
      </c>
      <c r="G12" s="2" t="inlineStr">
        <is>
          <t>VSS</t>
        </is>
      </c>
      <c r="H12" s="3" t="n">
        <v>3.47</v>
      </c>
      <c r="I12" s="3" t="n">
        <v>0.7599999999999999</v>
      </c>
      <c r="J12" s="4" t="n">
        <v>35</v>
      </c>
      <c r="K12" s="5" t="n">
        <v>1.133794156333762</v>
      </c>
      <c r="L12" s="5" t="n">
        <v>0.6160341309949253</v>
      </c>
      <c r="M12" s="5" t="n">
        <v>0.07538444152664431</v>
      </c>
      <c r="N12" s="5" t="n">
        <v>0</v>
      </c>
      <c r="O12" s="5" t="n">
        <v>0.5406496894682811</v>
      </c>
      <c r="P12" s="5" t="n">
        <v>1.058409714807118</v>
      </c>
      <c r="Q12" s="5" t="n">
        <v>-0.07538444152664431</v>
      </c>
      <c r="R12" s="5" t="n">
        <v>0.0001031018327344371</v>
      </c>
      <c r="S12" s="5" t="n">
        <v>0.001929333877930885</v>
      </c>
      <c r="T12" s="5" t="n">
        <v>2.135589481769401e-05</v>
      </c>
      <c r="U12" s="5" t="n">
        <v>0.0003338861615256497</v>
      </c>
      <c r="V12" s="5" t="n">
        <v>0.5114696966999618</v>
      </c>
      <c r="W12" s="5" t="n">
        <v>0.07634135866375213</v>
      </c>
      <c r="X12" s="5">
        <f>IF(ABS(R12)&gt;0,ABS(S12)/ABS(R12),"nan")</f>
        <v/>
      </c>
      <c r="Y12" s="5">
        <f>IF(ABS(T12)&gt;0,ABS(S12)/ABS(T12),"nan")</f>
        <v/>
      </c>
      <c r="Z12" s="5">
        <f>IF(ABS(T12)&gt;0,1/ABS(T12),"nan")</f>
        <v/>
      </c>
      <c r="AA12" s="5">
        <f>IF(B12="PMOS",-P12,P12)</f>
        <v/>
      </c>
      <c r="AB12" s="5">
        <f>IF(B12="PMOS",-O12,O12)-ABS(V12)</f>
        <v/>
      </c>
      <c r="AC12" s="5">
        <f>AA12-ABS(W12)</f>
        <v/>
      </c>
    </row>
    <row r="13">
      <c r="A13" s="6" t="inlineStr">
        <is>
          <t>XNM9</t>
        </is>
      </c>
      <c r="B13" s="6" t="inlineStr">
        <is>
          <t>NMOS</t>
        </is>
      </c>
      <c r="C13" s="6" t="inlineStr">
        <is>
          <t>sky130_fd_pr__nfet_01v8_lvt</t>
        </is>
      </c>
      <c r="D13" s="6" t="inlineStr">
        <is>
          <t>N5</t>
        </is>
      </c>
      <c r="E13" s="6" t="inlineStr">
        <is>
          <t>N0</t>
        </is>
      </c>
      <c r="F13" s="6" t="inlineStr">
        <is>
          <t>N6</t>
        </is>
      </c>
      <c r="G13" s="6" t="inlineStr">
        <is>
          <t>VSS</t>
        </is>
      </c>
      <c r="H13" s="7" t="n">
        <v>3.47</v>
      </c>
      <c r="I13" s="7" t="n">
        <v>0.7599999999999999</v>
      </c>
      <c r="J13" s="8" t="n">
        <v>35</v>
      </c>
      <c r="K13" s="9" t="n">
        <v>1.374689353086836</v>
      </c>
      <c r="L13" s="9" t="n">
        <v>0.6160341309949253</v>
      </c>
      <c r="M13" s="9" t="n">
        <v>0.08046445878913649</v>
      </c>
      <c r="N13" s="9" t="n">
        <v>0</v>
      </c>
      <c r="O13" s="9" t="n">
        <v>0.5355696722057888</v>
      </c>
      <c r="P13" s="9" t="n">
        <v>1.294224894297699</v>
      </c>
      <c r="Q13" s="9" t="n">
        <v>-0.08046445878913649</v>
      </c>
      <c r="R13" s="9" t="n">
        <v>9.672872962749286e-05</v>
      </c>
      <c r="S13" s="9" t="n">
        <v>0.001826215098698829</v>
      </c>
      <c r="T13" s="9" t="n">
        <v>1.950940000248993e-05</v>
      </c>
      <c r="U13" s="9" t="n">
        <v>0.0003154772132776468</v>
      </c>
      <c r="V13" s="9" t="n">
        <v>0.5124526670080899</v>
      </c>
      <c r="W13" s="9" t="n">
        <v>0.07363494820692065</v>
      </c>
      <c r="X13" s="9">
        <f>IF(ABS(R13)&gt;0,ABS(S13)/ABS(R13),"nan")</f>
        <v/>
      </c>
      <c r="Y13" s="9">
        <f>IF(ABS(T13)&gt;0,ABS(S13)/ABS(T13),"nan")</f>
        <v/>
      </c>
      <c r="Z13" s="9">
        <f>IF(ABS(T13)&gt;0,1/ABS(T13),"nan")</f>
        <v/>
      </c>
      <c r="AA13" s="9">
        <f>IF(B13="PMOS",-P13,P13)</f>
        <v/>
      </c>
      <c r="AB13" s="9">
        <f>IF(B13="PMOS",-O13,O13)-ABS(V13)</f>
        <v/>
      </c>
      <c r="AC13" s="9">
        <f>AA13-ABS(W13)</f>
        <v/>
      </c>
    </row>
    <row r="14">
      <c r="A14" s="2" t="inlineStr">
        <is>
          <t>XPM6</t>
        </is>
      </c>
      <c r="B14" s="2" t="inlineStr">
        <is>
          <t>PMOS</t>
        </is>
      </c>
      <c r="C14" s="2" t="inlineStr">
        <is>
          <t>sky130_fd_pr__pfet_01v8_lvt</t>
        </is>
      </c>
      <c r="D14" s="2" t="inlineStr">
        <is>
          <t>N3</t>
        </is>
      </c>
      <c r="E14" s="2" t="inlineStr">
        <is>
          <t>N3</t>
        </is>
      </c>
      <c r="F14" s="2" t="inlineStr">
        <is>
          <t>VDD</t>
        </is>
      </c>
      <c r="G14" s="2" t="inlineStr">
        <is>
          <t>VDD</t>
        </is>
      </c>
      <c r="H14" s="3" t="n">
        <v>1.22</v>
      </c>
      <c r="I14" s="3" t="n">
        <v>0.75</v>
      </c>
      <c r="J14" s="4" t="n">
        <v>35</v>
      </c>
      <c r="K14" s="5" t="n">
        <v>1.133794156333762</v>
      </c>
      <c r="L14" s="5" t="n">
        <v>1.133794156333762</v>
      </c>
      <c r="M14" s="5" t="n">
        <v>1.8</v>
      </c>
      <c r="N14" s="5" t="n">
        <v>1.8</v>
      </c>
      <c r="O14" s="5" t="n">
        <v>-0.6662058436662381</v>
      </c>
      <c r="P14" s="5" t="n">
        <v>-0.6662058436662381</v>
      </c>
      <c r="Q14" s="5" t="n">
        <v>0</v>
      </c>
      <c r="R14" s="5" t="n">
        <v>0.0001031018512704768</v>
      </c>
      <c r="S14" s="5" t="n">
        <v>0.0007071590398511878</v>
      </c>
      <c r="T14" s="5" t="n">
        <v>2.027536951720255e-05</v>
      </c>
      <c r="U14" s="5" t="n">
        <v>0.000150396399321794</v>
      </c>
      <c r="V14" s="5" t="n">
        <v>0.3861063860828729</v>
      </c>
      <c r="W14" s="5" t="n">
        <v>0.256389372984929</v>
      </c>
      <c r="X14" s="5">
        <f>IF(ABS(R14)&gt;0,ABS(S14)/ABS(R14),"nan")</f>
        <v/>
      </c>
      <c r="Y14" s="5">
        <f>IF(ABS(T14)&gt;0,ABS(S14)/ABS(T14),"nan")</f>
        <v/>
      </c>
      <c r="Z14" s="5">
        <f>IF(ABS(T14)&gt;0,1/ABS(T14),"nan")</f>
        <v/>
      </c>
      <c r="AA14" s="5">
        <f>IF(B14="PMOS",-P14,P14)</f>
        <v/>
      </c>
      <c r="AB14" s="5">
        <f>IF(B14="PMOS",-O14,O14)-ABS(V14)</f>
        <v/>
      </c>
      <c r="AC14" s="5">
        <f>AA14-ABS(W14)</f>
        <v/>
      </c>
    </row>
    <row r="15">
      <c r="A15" s="6" t="inlineStr">
        <is>
          <t>XPM16</t>
        </is>
      </c>
      <c r="B15" s="6" t="inlineStr">
        <is>
          <t>PMOS</t>
        </is>
      </c>
      <c r="C15" s="6" t="inlineStr">
        <is>
          <t>sky130_fd_pr__pfet_01v8_lvt</t>
        </is>
      </c>
      <c r="D15" s="6" t="inlineStr">
        <is>
          <t>N5</t>
        </is>
      </c>
      <c r="E15" s="6" t="inlineStr">
        <is>
          <t>N3</t>
        </is>
      </c>
      <c r="F15" s="6" t="inlineStr">
        <is>
          <t>VDD</t>
        </is>
      </c>
      <c r="G15" s="6" t="inlineStr">
        <is>
          <t>VDD</t>
        </is>
      </c>
      <c r="H15" s="7" t="n">
        <v>1.22</v>
      </c>
      <c r="I15" s="7" t="n">
        <v>0.75</v>
      </c>
      <c r="J15" s="8" t="n">
        <v>35</v>
      </c>
      <c r="K15" s="9" t="n">
        <v>1.374689353086836</v>
      </c>
      <c r="L15" s="9" t="n">
        <v>1.133794156333762</v>
      </c>
      <c r="M15" s="9" t="n">
        <v>1.8</v>
      </c>
      <c r="N15" s="9" t="n">
        <v>1.8</v>
      </c>
      <c r="O15" s="9" t="n">
        <v>-0.6662058436662381</v>
      </c>
      <c r="P15" s="9" t="n">
        <v>-0.425310646913164</v>
      </c>
      <c r="Q15" s="9" t="n">
        <v>0</v>
      </c>
      <c r="R15" s="9" t="n">
        <v>9.672895641110586e-05</v>
      </c>
      <c r="S15" s="9" t="n">
        <v>0.000661223708102868</v>
      </c>
      <c r="T15" s="9" t="n">
        <v>3.855827907660849e-05</v>
      </c>
      <c r="U15" s="9" t="n">
        <v>0.0001411875271348258</v>
      </c>
      <c r="V15" s="9" t="n">
        <v>0.3861063860867192</v>
      </c>
      <c r="W15" s="9" t="n">
        <v>0.2563893729821762</v>
      </c>
      <c r="X15" s="9">
        <f>IF(ABS(R15)&gt;0,ABS(S15)/ABS(R15),"nan")</f>
        <v/>
      </c>
      <c r="Y15" s="9">
        <f>IF(ABS(T15)&gt;0,ABS(S15)/ABS(T15),"nan")</f>
        <v/>
      </c>
      <c r="Z15" s="9">
        <f>IF(ABS(T15)&gt;0,1/ABS(T15),"nan")</f>
        <v/>
      </c>
      <c r="AA15" s="9">
        <f>IF(B15="PMOS",-P15,P15)</f>
        <v/>
      </c>
      <c r="AB15" s="9">
        <f>IF(B15="PMOS",-O15,O15)-ABS(V15)</f>
        <v/>
      </c>
      <c r="AC15" s="9">
        <f>AA15-ABS(W15)</f>
        <v/>
      </c>
    </row>
    <row r="16">
      <c r="A16" s="2" t="inlineStr">
        <is>
          <t>XPM15</t>
        </is>
      </c>
      <c r="B16" s="2" t="inlineStr">
        <is>
          <t>PMOS</t>
        </is>
      </c>
      <c r="C16" s="2" t="inlineStr">
        <is>
          <t>sky130_fd_pr__pfet_01v8_lvt</t>
        </is>
      </c>
      <c r="D16" s="2" t="inlineStr">
        <is>
          <t>VOUT</t>
        </is>
      </c>
      <c r="E16" s="2" t="inlineStr">
        <is>
          <t>N5</t>
        </is>
      </c>
      <c r="F16" s="2" t="inlineStr">
        <is>
          <t>VDD</t>
        </is>
      </c>
      <c r="G16" s="2" t="inlineStr">
        <is>
          <t>VDD</t>
        </is>
      </c>
      <c r="H16" s="3" t="n">
        <v>7.75</v>
      </c>
      <c r="I16" s="3" t="n">
        <v>0.7899999999999999</v>
      </c>
      <c r="J16" s="4" t="n">
        <v>35</v>
      </c>
      <c r="K16" s="5" t="n">
        <v>0.9322371439822206</v>
      </c>
      <c r="L16" s="5" t="n">
        <v>1.374689353086836</v>
      </c>
      <c r="M16" s="5" t="n">
        <v>1.8</v>
      </c>
      <c r="N16" s="5" t="n">
        <v>1.8</v>
      </c>
      <c r="O16" s="5" t="n">
        <v>-0.425310646913164</v>
      </c>
      <c r="P16" s="5" t="n">
        <v>-0.8677628560177795</v>
      </c>
      <c r="Q16" s="5" t="n">
        <v>0</v>
      </c>
      <c r="R16" s="5" t="n">
        <v>2.434225301985028e-05</v>
      </c>
      <c r="S16" s="5" t="n">
        <v>0.0003908178617508986</v>
      </c>
      <c r="T16" s="5" t="n">
        <v>1.033420938526864e-05</v>
      </c>
      <c r="U16" s="5" t="n">
        <v>0.0001017376675009353</v>
      </c>
      <c r="V16" s="5" t="n">
        <v>0.4651924752005845</v>
      </c>
      <c r="W16" s="5" t="n">
        <v>0.06389522611276434</v>
      </c>
      <c r="X16" s="5">
        <f>IF(ABS(R16)&gt;0,ABS(S16)/ABS(R16),"nan")</f>
        <v/>
      </c>
      <c r="Y16" s="5">
        <f>IF(ABS(T16)&gt;0,ABS(S16)/ABS(T16),"nan")</f>
        <v/>
      </c>
      <c r="Z16" s="5">
        <f>IF(ABS(T16)&gt;0,1/ABS(T16),"nan")</f>
        <v/>
      </c>
      <c r="AA16" s="5">
        <f>IF(B16="PMOS",-P16,P16)</f>
        <v/>
      </c>
      <c r="AB16" s="5">
        <f>IF(B16="PMOS",-O16,O16)-ABS(V16)</f>
        <v/>
      </c>
      <c r="AC16" s="5">
        <f>AA16-ABS(W16)</f>
        <v/>
      </c>
    </row>
    <row r="17">
      <c r="A17" s="6" t="inlineStr">
        <is>
          <t>XNM8</t>
        </is>
      </c>
      <c r="B17" s="6" t="inlineStr">
        <is>
          <t>NMOS</t>
        </is>
      </c>
      <c r="C17" s="6" t="inlineStr">
        <is>
          <t>sky130_fd_pr__nfet_01v8_lvt</t>
        </is>
      </c>
      <c r="D17" s="6" t="inlineStr">
        <is>
          <t>VOUT</t>
        </is>
      </c>
      <c r="E17" s="6" t="inlineStr">
        <is>
          <t>VBIAS</t>
        </is>
      </c>
      <c r="F17" s="6" t="inlineStr">
        <is>
          <t>VSS</t>
        </is>
      </c>
      <c r="G17" s="6" t="inlineStr">
        <is>
          <t>VSS</t>
        </is>
      </c>
      <c r="H17" s="7" t="n">
        <v>1.78</v>
      </c>
      <c r="I17" s="7" t="n">
        <v>0.71</v>
      </c>
      <c r="J17" s="8" t="n">
        <v>35</v>
      </c>
      <c r="K17" s="9" t="n">
        <v>0.9322371439822206</v>
      </c>
      <c r="L17" s="9" t="n">
        <v>0.4963256620163061</v>
      </c>
      <c r="M17" s="9" t="n">
        <v>0</v>
      </c>
      <c r="N17" s="9" t="n">
        <v>0</v>
      </c>
      <c r="O17" s="9" t="n">
        <v>0.4963256620163061</v>
      </c>
      <c r="P17" s="9" t="n">
        <v>0.9322371439822206</v>
      </c>
      <c r="Q17" s="9" t="n">
        <v>0</v>
      </c>
      <c r="R17" s="9" t="n">
        <v>2.434225074632425e-05</v>
      </c>
      <c r="S17" s="9" t="n">
        <v>0.0005086361109273674</v>
      </c>
      <c r="T17" s="9" t="n">
        <v>6.178738106555327e-06</v>
      </c>
      <c r="U17" s="9" t="n">
        <v>9.510444889383175e-05</v>
      </c>
      <c r="V17" s="9" t="n">
        <v>0.5063329617787551</v>
      </c>
      <c r="W17" s="9" t="n">
        <v>0.06233934249175291</v>
      </c>
      <c r="X17" s="9">
        <f>IF(ABS(R17)&gt;0,ABS(S17)/ABS(R17),"nan")</f>
        <v/>
      </c>
      <c r="Y17" s="9">
        <f>IF(ABS(T17)&gt;0,ABS(S17)/ABS(T17),"nan")</f>
        <v/>
      </c>
      <c r="Z17" s="9">
        <f>IF(ABS(T17)&gt;0,1/ABS(T17),"nan")</f>
        <v/>
      </c>
      <c r="AA17" s="9">
        <f>IF(B17="PMOS",-P17,P17)</f>
        <v/>
      </c>
      <c r="AB17" s="9">
        <f>IF(B17="PMOS",-O17,O17)-ABS(V17)</f>
        <v/>
      </c>
      <c r="AC17" s="9">
        <f>AA17-ABS(W17)</f>
        <v/>
      </c>
    </row>
    <row r="19">
      <c r="A19" t="inlineStr">
        <is>
          <t>DC snapshot: XDUT_CM voltage follower. Signed terminal voltages; model currents already include M.</t>
        </is>
      </c>
    </row>
  </sheetData>
  <autoFilter ref="A1:AC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34" customHeight="1">
      <c r="A1" s="1" t="inlineStr">
        <is>
          <t>Device</t>
        </is>
      </c>
      <c r="B1" s="1" t="inlineStr">
        <is>
          <t>MOS_Type</t>
        </is>
      </c>
      <c r="C1" s="1" t="inlineStr">
        <is>
          <t>M</t>
        </is>
      </c>
      <c r="D1" s="1" t="inlineStr">
        <is>
          <t>cgg_F</t>
        </is>
      </c>
      <c r="E1" s="1" t="inlineStr">
        <is>
          <t>cgs_F</t>
        </is>
      </c>
      <c r="F1" s="1" t="inlineStr">
        <is>
          <t>cgd_F</t>
        </is>
      </c>
      <c r="G1" s="1" t="inlineStr">
        <is>
          <t>cgb_F</t>
        </is>
      </c>
      <c r="H1" s="1" t="inlineStr">
        <is>
          <t>cdg_F</t>
        </is>
      </c>
      <c r="I1" s="1" t="inlineStr">
        <is>
          <t>cdd_F</t>
        </is>
      </c>
      <c r="J1" s="1" t="inlineStr">
        <is>
          <t>cds_F</t>
        </is>
      </c>
      <c r="K1" s="1" t="inlineStr">
        <is>
          <t>cdb_F</t>
        </is>
      </c>
      <c r="L1" s="1" t="inlineStr">
        <is>
          <t>csg_F</t>
        </is>
      </c>
      <c r="M1" s="1" t="inlineStr">
        <is>
          <t>csd_F</t>
        </is>
      </c>
      <c r="N1" s="1" t="inlineStr">
        <is>
          <t>css_F</t>
        </is>
      </c>
      <c r="O1" s="1" t="inlineStr">
        <is>
          <t>csb_F</t>
        </is>
      </c>
      <c r="P1" s="1" t="inlineStr">
        <is>
          <t>cbg_F</t>
        </is>
      </c>
      <c r="Q1" s="1" t="inlineStr">
        <is>
          <t>cbd_F</t>
        </is>
      </c>
      <c r="R1" s="1" t="inlineStr">
        <is>
          <t>cbs_F</t>
        </is>
      </c>
      <c r="S1" s="1" t="inlineStr">
        <is>
          <t>cbb_F</t>
        </is>
      </c>
      <c r="T1" s="1" t="inlineStr">
        <is>
          <t>capbd_F</t>
        </is>
      </c>
      <c r="U1" s="1" t="inlineStr">
        <is>
          <t>capbs_F</t>
        </is>
      </c>
      <c r="V1" s="1" t="inlineStr">
        <is>
          <t>qg_C</t>
        </is>
      </c>
      <c r="W1" s="1" t="inlineStr">
        <is>
          <t>qb_C</t>
        </is>
      </c>
      <c r="X1" s="1" t="inlineStr">
        <is>
          <t>qd_C</t>
        </is>
      </c>
      <c r="Y1" s="1" t="inlineStr">
        <is>
          <t>qs_C</t>
        </is>
      </c>
    </row>
    <row r="2">
      <c r="A2" s="2" t="inlineStr">
        <is>
          <t>XNM1</t>
        </is>
      </c>
      <c r="B2" s="2" t="inlineStr">
        <is>
          <t>NMOS</t>
        </is>
      </c>
      <c r="C2" s="5" t="n">
        <v>1</v>
      </c>
      <c r="D2" s="5" t="n">
        <v>3.41383901972745e-14</v>
      </c>
      <c r="E2" s="5" t="n">
        <v>-2.982116817887336e-14</v>
      </c>
      <c r="F2" s="5" t="n">
        <v>-4.268101156477114e-17</v>
      </c>
      <c r="G2" s="5" t="n">
        <v>-4.27454100683637e-15</v>
      </c>
      <c r="H2" s="5" t="n">
        <v>-1.071810977016293e-14</v>
      </c>
      <c r="I2" s="5" t="n">
        <v>5.487906896328345e-17</v>
      </c>
      <c r="J2" s="5" t="n">
        <v>1.300503105684676e-14</v>
      </c>
      <c r="K2" s="5" t="n">
        <v>-2.341800355647108e-15</v>
      </c>
      <c r="L2" s="5" t="n">
        <v>-1.598987445791048e-14</v>
      </c>
      <c r="M2" s="5" t="n">
        <v>1.491207089438534e-17</v>
      </c>
      <c r="N2" s="5" t="n">
        <v>1.946093475290437e-14</v>
      </c>
      <c r="O2" s="5" t="n">
        <v>-3.485972365888282e-15</v>
      </c>
      <c r="P2" s="5" t="n">
        <v>-7.430405969201094e-15</v>
      </c>
      <c r="Q2" s="5" t="n">
        <v>-2.711012829289765e-17</v>
      </c>
      <c r="R2" s="5" t="n">
        <v>-2.644797630877768e-15</v>
      </c>
      <c r="S2" s="5" t="n">
        <v>1.010231372837176e-14</v>
      </c>
      <c r="T2" s="5" t="n">
        <v>9.928703342988502e-16</v>
      </c>
      <c r="U2" s="5" t="n">
        <v>1.199605417183966e-15</v>
      </c>
      <c r="V2" s="5" t="n">
        <v>2.405078751465089e-14</v>
      </c>
      <c r="W2" s="5" t="n">
        <v>-1.747187618366256e-14</v>
      </c>
      <c r="X2" s="5" t="n">
        <v>-2.637371512022126e-15</v>
      </c>
      <c r="Y2" s="5" t="n">
        <v>-3.94153981896621e-15</v>
      </c>
    </row>
    <row r="3">
      <c r="A3" s="6" t="inlineStr">
        <is>
          <t>XNM7</t>
        </is>
      </c>
      <c r="B3" s="6" t="inlineStr">
        <is>
          <t>NMOS</t>
        </is>
      </c>
      <c r="C3" s="9" t="n">
        <v>1</v>
      </c>
      <c r="D3" s="9" t="n">
        <v>3.40912362675143e-14</v>
      </c>
      <c r="E3" s="9" t="n">
        <v>-2.980221482345618e-14</v>
      </c>
      <c r="F3" s="9" t="n">
        <v>-3.101413466294498e-18</v>
      </c>
      <c r="G3" s="9" t="n">
        <v>-4.28592003059182e-15</v>
      </c>
      <c r="H3" s="9" t="n">
        <v>-1.06573909349299e-14</v>
      </c>
      <c r="I3" s="9" t="n">
        <v>4.048875478473242e-18</v>
      </c>
      <c r="J3" s="9" t="n">
        <v>1.297696198117165e-14</v>
      </c>
      <c r="K3" s="9" t="n">
        <v>-2.32361992172022e-15</v>
      </c>
      <c r="L3" s="9" t="n">
        <v>-1.597352581526152e-14</v>
      </c>
      <c r="M3" s="9" t="n">
        <v>1.035112248060396e-18</v>
      </c>
      <c r="N3" s="9" t="n">
        <v>1.945352691483976e-14</v>
      </c>
      <c r="O3" s="9" t="n">
        <v>-3.481036211826301e-15</v>
      </c>
      <c r="P3" s="9" t="n">
        <v>-7.460319517322871e-15</v>
      </c>
      <c r="Q3" s="9" t="n">
        <v>-1.98257426023914e-18</v>
      </c>
      <c r="R3" s="9" t="n">
        <v>-2.62827407255523e-15</v>
      </c>
      <c r="S3" s="9" t="n">
        <v>1.009057616413834e-14</v>
      </c>
      <c r="T3" s="9" t="n">
        <v>7.346611957508968e-16</v>
      </c>
      <c r="U3" s="9" t="n">
        <v>1.199605417193166e-15</v>
      </c>
      <c r="V3" s="9" t="n">
        <v>2.404329194975808e-14</v>
      </c>
      <c r="W3" s="9" t="n">
        <v>-1.747664286905695e-14</v>
      </c>
      <c r="X3" s="9" t="n">
        <v>-2.627682761259478e-15</v>
      </c>
      <c r="Y3" s="9" t="n">
        <v>-3.938966319441656e-15</v>
      </c>
    </row>
    <row r="4">
      <c r="A4" s="2" t="inlineStr">
        <is>
          <t>XPM5</t>
        </is>
      </c>
      <c r="B4" s="2" t="inlineStr">
        <is>
          <t>PMOS</t>
        </is>
      </c>
      <c r="C4" s="5" t="n">
        <v>1</v>
      </c>
      <c r="D4" s="5" t="n">
        <v>4.619658420332287e-15</v>
      </c>
      <c r="E4" s="5" t="n">
        <v>-4.179830255217521e-15</v>
      </c>
      <c r="F4" s="5" t="n">
        <v>-1.610837280367177e-18</v>
      </c>
      <c r="G4" s="5" t="n">
        <v>-4.382173278343993e-16</v>
      </c>
      <c r="H4" s="5" t="n">
        <v>-1.481609716068046e-15</v>
      </c>
      <c r="I4" s="5" t="n">
        <v>2.156560328197796e-18</v>
      </c>
      <c r="J4" s="5" t="n">
        <v>1.938866033684262e-15</v>
      </c>
      <c r="K4" s="5" t="n">
        <v>-4.59412877944414e-16</v>
      </c>
      <c r="L4" s="5" t="n">
        <v>-2.217550430055719e-15</v>
      </c>
      <c r="M4" s="5" t="n">
        <v>5.707727702277482e-19</v>
      </c>
      <c r="N4" s="5" t="n">
        <v>2.904335295422292e-15</v>
      </c>
      <c r="O4" s="5" t="n">
        <v>-6.873556381368005e-16</v>
      </c>
      <c r="P4" s="5" t="n">
        <v>-9.20498274208522e-16</v>
      </c>
      <c r="Q4" s="5" t="n">
        <v>-1.116495818058367e-18</v>
      </c>
      <c r="R4" s="5" t="n">
        <v>-6.633710738890334e-16</v>
      </c>
      <c r="S4" s="5" t="n">
        <v>1.584985843915614e-15</v>
      </c>
      <c r="T4" s="5" t="n">
        <v>1.908193461939697e-16</v>
      </c>
      <c r="U4" s="5" t="n">
        <v>1.712801917191909e-16</v>
      </c>
      <c r="V4" s="5" t="n">
        <v>4.466817278589129e-15</v>
      </c>
      <c r="W4" s="5" t="n">
        <v>-3.595687498405439e-15</v>
      </c>
      <c r="X4" s="5" t="n">
        <v>-3.487938457770332e-16</v>
      </c>
      <c r="Y4" s="5" t="n">
        <v>-5.223359344066567e-16</v>
      </c>
    </row>
    <row r="5">
      <c r="A5" s="6" t="inlineStr">
        <is>
          <t>XPM17</t>
        </is>
      </c>
      <c r="B5" s="6" t="inlineStr">
        <is>
          <t>PMOS</t>
        </is>
      </c>
      <c r="C5" s="9" t="n">
        <v>1</v>
      </c>
      <c r="D5" s="9" t="n">
        <v>4.617573303148527e-15</v>
      </c>
      <c r="E5" s="9" t="n">
        <v>-4.178379216450729e-15</v>
      </c>
      <c r="F5" s="9" t="n">
        <v>-2.949526598456975e-19</v>
      </c>
      <c r="G5" s="9" t="n">
        <v>-4.388991340379528e-16</v>
      </c>
      <c r="H5" s="9" t="n">
        <v>-1.478814641223108e-15</v>
      </c>
      <c r="I5" s="9" t="n">
        <v>3.968592105669936e-19</v>
      </c>
      <c r="J5" s="9" t="n">
        <v>1.936830598053114e-15</v>
      </c>
      <c r="K5" s="9" t="n">
        <v>-4.584128160405726e-16</v>
      </c>
      <c r="L5" s="9" t="n">
        <v>-2.216815161344258e-15</v>
      </c>
      <c r="M5" s="9" t="n">
        <v>1.025296646631633e-19</v>
      </c>
      <c r="N5" s="9" t="n">
        <v>2.90380451507594e-15</v>
      </c>
      <c r="O5" s="9" t="n">
        <v>-6.870918833963453e-16</v>
      </c>
      <c r="P5" s="9" t="n">
        <v>-9.219435005811608e-16</v>
      </c>
      <c r="Q5" s="9" t="n">
        <v>-2.044362153844594e-19</v>
      </c>
      <c r="R5" s="9" t="n">
        <v>-6.622558966783254e-16</v>
      </c>
      <c r="S5" s="9" t="n">
        <v>1.584403833474871e-15</v>
      </c>
      <c r="T5" s="9" t="n">
        <v>1.579778850921064e-16</v>
      </c>
      <c r="U5" s="9" t="n">
        <v>1.712801917196256e-16</v>
      </c>
      <c r="V5" s="9" t="n">
        <v>4.466469364423759e-15</v>
      </c>
      <c r="W5" s="9" t="n">
        <v>-3.595928643006727e-15</v>
      </c>
      <c r="X5" s="9" t="n">
        <v>-3.483270068603094e-16</v>
      </c>
      <c r="Y5" s="9" t="n">
        <v>-5.222137145567223e-16</v>
      </c>
    </row>
    <row r="6">
      <c r="A6" s="2" t="inlineStr">
        <is>
          <t>XPM18</t>
        </is>
      </c>
      <c r="B6" s="2" t="inlineStr">
        <is>
          <t>PMOS</t>
        </is>
      </c>
      <c r="C6" s="5" t="n">
        <v>1</v>
      </c>
      <c r="D6" s="5" t="n">
        <v>4.617595713543821e-15</v>
      </c>
      <c r="E6" s="5" t="n">
        <v>-4.178398111181175e-15</v>
      </c>
      <c r="F6" s="5" t="n">
        <v>-3.05925373924712e-19</v>
      </c>
      <c r="G6" s="5" t="n">
        <v>-4.388916769887215e-16</v>
      </c>
      <c r="H6" s="5" t="n">
        <v>-1.478844777815515e-15</v>
      </c>
      <c r="I6" s="5" t="n">
        <v>4.11589681392129e-19</v>
      </c>
      <c r="J6" s="5" t="n">
        <v>1.936857044054609e-15</v>
      </c>
      <c r="K6" s="5" t="n">
        <v>-4.584238559204861e-16</v>
      </c>
      <c r="L6" s="5" t="n">
        <v>-2.216822968132415e-15</v>
      </c>
      <c r="M6" s="5" t="n">
        <v>1.063772625865164e-19</v>
      </c>
      <c r="N6" s="5" t="n">
        <v>2.903811340599953e-15</v>
      </c>
      <c r="O6" s="5" t="n">
        <v>-6.870947497301248e-16</v>
      </c>
      <c r="P6" s="5" t="n">
        <v>-9.219279675958913e-16</v>
      </c>
      <c r="Q6" s="5" t="n">
        <v>-2.120415700539334e-19</v>
      </c>
      <c r="R6" s="5" t="n">
        <v>-6.622702734733871e-16</v>
      </c>
      <c r="S6" s="5" t="n">
        <v>1.584410282639332e-15</v>
      </c>
      <c r="T6" s="5" t="n">
        <v>1.587362142380917e-16</v>
      </c>
      <c r="U6" s="5" t="n">
        <v>1.712801917196129e-16</v>
      </c>
      <c r="V6" s="5" t="n">
        <v>4.466473435401026e-15</v>
      </c>
      <c r="W6" s="5" t="n">
        <v>-3.595925821350251e-15</v>
      </c>
      <c r="X6" s="5" t="n">
        <v>-3.483324841434182e-16</v>
      </c>
      <c r="Y6" s="5" t="n">
        <v>-5.222151299073577e-16</v>
      </c>
    </row>
    <row r="7">
      <c r="A7" s="6" t="inlineStr">
        <is>
          <t>XNM2</t>
        </is>
      </c>
      <c r="B7" s="6" t="inlineStr">
        <is>
          <t>NMOS</t>
        </is>
      </c>
      <c r="C7" s="9" t="n">
        <v>1</v>
      </c>
      <c r="D7" s="9" t="n">
        <v>6.090972326900494e-15</v>
      </c>
      <c r="E7" s="9" t="n">
        <v>-5.37133075537819e-15</v>
      </c>
      <c r="F7" s="9" t="n">
        <v>-6.65307881794031e-18</v>
      </c>
      <c r="G7" s="9" t="n">
        <v>-7.129884927043628e-16</v>
      </c>
      <c r="H7" s="9" t="n">
        <v>-1.978616887209655e-15</v>
      </c>
      <c r="I7" s="9" t="n">
        <v>8.347160450849234e-18</v>
      </c>
      <c r="J7" s="9" t="n">
        <v>2.392663411982889e-15</v>
      </c>
      <c r="K7" s="9" t="n">
        <v>-4.223936852240825e-16</v>
      </c>
      <c r="L7" s="9" t="n">
        <v>-2.954595450960831e-15</v>
      </c>
      <c r="M7" s="9" t="n">
        <v>2.243131390839042e-18</v>
      </c>
      <c r="N7" s="9" t="n">
        <v>3.582385447552602e-15</v>
      </c>
      <c r="O7" s="9" t="n">
        <v>-6.30033127982611e-16</v>
      </c>
      <c r="P7" s="9" t="n">
        <v>-1.157759988730008e-15</v>
      </c>
      <c r="Q7" s="9" t="n">
        <v>-3.937213023747966e-18</v>
      </c>
      <c r="R7" s="9" t="n">
        <v>-6.037181041573001e-16</v>
      </c>
      <c r="S7" s="9" t="n">
        <v>1.765415305911056e-15</v>
      </c>
      <c r="T7" s="9" t="n">
        <v>1.976816199925107e-16</v>
      </c>
      <c r="U7" s="9" t="n">
        <v>2.544082180775129e-16</v>
      </c>
      <c r="V7" s="9" t="n">
        <v>4.640192065809398e-15</v>
      </c>
      <c r="W7" s="9" t="n">
        <v>-3.140722402868977e-15</v>
      </c>
      <c r="X7" s="9" t="n">
        <v>-6.008011363610482e-16</v>
      </c>
      <c r="Y7" s="9" t="n">
        <v>-8.986685265793724e-16</v>
      </c>
    </row>
    <row r="8">
      <c r="A8" s="2" t="inlineStr">
        <is>
          <t>XNM10</t>
        </is>
      </c>
      <c r="B8" s="2" t="inlineStr">
        <is>
          <t>NMOS</t>
        </is>
      </c>
      <c r="C8" s="5" t="n">
        <v>71</v>
      </c>
      <c r="D8" s="5" t="n">
        <v>5.221407394715813e-13</v>
      </c>
      <c r="E8" s="5" t="n">
        <v>-2.873024835558692e-13</v>
      </c>
      <c r="F8" s="5" t="n">
        <v>-1.974234827360019e-13</v>
      </c>
      <c r="G8" s="5" t="n">
        <v>-3.741477317971021e-14</v>
      </c>
      <c r="H8" s="5" t="n">
        <v>-2.418734869085857e-13</v>
      </c>
      <c r="I8" s="5" t="n">
        <v>2.180517992564517e-13</v>
      </c>
      <c r="J8" s="5" t="n">
        <v>7.261011959024501e-14</v>
      </c>
      <c r="K8" s="5" t="n">
        <v>-4.878843193811107e-14</v>
      </c>
      <c r="L8" s="5" t="n">
        <v>-2.510911594599728e-13</v>
      </c>
      <c r="M8" s="5" t="n">
        <v>9.610089540527893e-14</v>
      </c>
      <c r="N8" s="5" t="n">
        <v>2.072961353165986e-13</v>
      </c>
      <c r="O8" s="5" t="n">
        <v>-5.23058712619047e-14</v>
      </c>
      <c r="P8" s="5" t="n">
        <v>-2.917609310302281e-14</v>
      </c>
      <c r="Q8" s="5" t="n">
        <v>-1.167292119257288e-13</v>
      </c>
      <c r="R8" s="5" t="n">
        <v>7.396228649025609e-15</v>
      </c>
      <c r="S8" s="5" t="n">
        <v>1.38509076379726e-13</v>
      </c>
      <c r="T8" s="5" t="n">
        <v>2.055410748798908e-14</v>
      </c>
      <c r="U8" s="5" t="n">
        <v>1.806298348343002e-14</v>
      </c>
      <c r="V8" s="5" t="n">
        <v>3.452507342857015e-13</v>
      </c>
      <c r="W8" s="5" t="n">
        <v>-2.136509383653286e-13</v>
      </c>
      <c r="X8" s="5" t="n">
        <v>-6.082726440659204e-14</v>
      </c>
      <c r="Y8" s="5" t="n">
        <v>-7.077253151378086e-14</v>
      </c>
    </row>
    <row r="9">
      <c r="A9" s="6" t="inlineStr">
        <is>
          <t>XNM4</t>
        </is>
      </c>
      <c r="B9" s="6" t="inlineStr">
        <is>
          <t>NMOS</t>
        </is>
      </c>
      <c r="C9" s="9" t="n">
        <v>11</v>
      </c>
      <c r="D9" s="9" t="n">
        <v>2.946285828360198e-14</v>
      </c>
      <c r="E9" s="9" t="n">
        <v>-2.53798885746615e-14</v>
      </c>
      <c r="F9" s="9" t="n">
        <v>-3.413458611343401e-17</v>
      </c>
      <c r="G9" s="9" t="n">
        <v>-4.048835122827044e-15</v>
      </c>
      <c r="H9" s="9" t="n">
        <v>-9.473110753974552e-15</v>
      </c>
      <c r="I9" s="9" t="n">
        <v>4.143738395414467e-17</v>
      </c>
      <c r="J9" s="9" t="n">
        <v>1.136534345229317e-14</v>
      </c>
      <c r="K9" s="9" t="n">
        <v>-1.933670082272766e-15</v>
      </c>
      <c r="L9" s="9" t="n">
        <v>-1.414072640803271e-14</v>
      </c>
      <c r="M9" s="9" t="n">
        <v>1.119750677030724e-17</v>
      </c>
      <c r="N9" s="9" t="n">
        <v>1.701204375386619e-14</v>
      </c>
      <c r="O9" s="9" t="n">
        <v>-2.882514852603782e-15</v>
      </c>
      <c r="P9" s="9" t="n">
        <v>-5.849021121594718e-15</v>
      </c>
      <c r="Q9" s="9" t="n">
        <v>-1.850030461101789e-17</v>
      </c>
      <c r="R9" s="9" t="n">
        <v>-2.997498631497856e-15</v>
      </c>
      <c r="S9" s="9" t="n">
        <v>8.865020057703593e-15</v>
      </c>
      <c r="T9" s="9" t="n">
        <v>7.717099839915066e-16</v>
      </c>
      <c r="U9" s="9" t="n">
        <v>1.1388792930348e-15</v>
      </c>
      <c r="V9" s="9" t="n">
        <v>2.274576953350337e-14</v>
      </c>
      <c r="W9" s="9" t="n">
        <v>-1.661494906603322e-14</v>
      </c>
      <c r="X9" s="9" t="n">
        <v>-2.457035902791908e-15</v>
      </c>
      <c r="Y9" s="9" t="n">
        <v>-3.67378456467824e-15</v>
      </c>
    </row>
    <row r="10">
      <c r="A10" s="2" t="inlineStr">
        <is>
          <t>XNM12</t>
        </is>
      </c>
      <c r="B10" s="2" t="inlineStr">
        <is>
          <t>NMOS</t>
        </is>
      </c>
      <c r="C10" s="5" t="n">
        <v>35</v>
      </c>
      <c r="D10" s="5" t="n">
        <v>1.563172600458213e-12</v>
      </c>
      <c r="E10" s="5" t="n">
        <v>-7.660758630749742e-13</v>
      </c>
      <c r="F10" s="5" t="n">
        <v>-7.647840104844787e-13</v>
      </c>
      <c r="G10" s="5" t="n">
        <v>-3.231272689875968e-14</v>
      </c>
      <c r="H10" s="5" t="n">
        <v>-7.762809834693966e-13</v>
      </c>
      <c r="I10" s="5" t="n">
        <v>8.153468652668997e-13</v>
      </c>
      <c r="J10" s="5" t="n">
        <v>1.137037008894065e-13</v>
      </c>
      <c r="K10" s="5" t="n">
        <v>-1.527695826869097e-13</v>
      </c>
      <c r="L10" s="5" t="n">
        <v>-7.765188420627742e-13</v>
      </c>
      <c r="M10" s="5" t="n">
        <v>4.065641660610155e-13</v>
      </c>
      <c r="N10" s="5" t="n">
        <v>5.232118868364572e-13</v>
      </c>
      <c r="O10" s="5" t="n">
        <v>-1.532572108346984e-13</v>
      </c>
      <c r="P10" s="5" t="n">
        <v>-1.037277492604162e-14</v>
      </c>
      <c r="Q10" s="5" t="n">
        <v>-4.571270208434365e-13</v>
      </c>
      <c r="R10" s="5" t="n">
        <v>1.291602753491104e-13</v>
      </c>
      <c r="S10" s="5" t="n">
        <v>3.383395204203677e-13</v>
      </c>
      <c r="T10" s="5" t="n">
        <v>4.283192896643797e-14</v>
      </c>
      <c r="U10" s="5" t="n">
        <v>4.296848500686295e-14</v>
      </c>
      <c r="V10" s="5" t="n">
        <v>1.299479299543604e-12</v>
      </c>
      <c r="W10" s="5" t="n">
        <v>-5.182759075769552e-13</v>
      </c>
      <c r="X10" s="5" t="n">
        <v>-3.89893595484365e-13</v>
      </c>
      <c r="Y10" s="5" t="n">
        <v>-3.913097964822834e-13</v>
      </c>
    </row>
    <row r="11">
      <c r="A11" s="6" t="inlineStr">
        <is>
          <t>XNM13</t>
        </is>
      </c>
      <c r="B11" s="6" t="inlineStr">
        <is>
          <t>NMOS</t>
        </is>
      </c>
      <c r="C11" s="9" t="n">
        <v>35</v>
      </c>
      <c r="D11" s="9" t="n">
        <v>1.43352626962571e-12</v>
      </c>
      <c r="E11" s="9" t="n">
        <v>-6.634829055433978e-13</v>
      </c>
      <c r="F11" s="9" t="n">
        <v>-7.129900949459884e-13</v>
      </c>
      <c r="G11" s="9" t="n">
        <v>-5.705326913632406e-14</v>
      </c>
      <c r="H11" s="9" t="n">
        <v>-7.007122633247708e-13</v>
      </c>
      <c r="I11" s="9" t="n">
        <v>7.621931543387311e-13</v>
      </c>
      <c r="J11" s="9" t="n">
        <v>7.761649568387225e-14</v>
      </c>
      <c r="K11" s="9" t="n">
        <v>-1.390973866978326e-13</v>
      </c>
      <c r="L11" s="9" t="n">
        <v>-7.019647076431636e-13</v>
      </c>
      <c r="M11" s="9" t="n">
        <v>3.769658956642259e-13</v>
      </c>
      <c r="N11" s="9" t="n">
        <v>4.653285229447596e-13</v>
      </c>
      <c r="O11" s="9" t="n">
        <v>-1.40329710965822e-13</v>
      </c>
      <c r="P11" s="9" t="n">
        <v>-3.084929865777595e-14</v>
      </c>
      <c r="Q11" s="9" t="n">
        <v>-4.261689550569687e-13</v>
      </c>
      <c r="R11" s="9" t="n">
        <v>1.20537886914766e-13</v>
      </c>
      <c r="S11" s="9" t="n">
        <v>3.364803667999786e-13</v>
      </c>
      <c r="T11" s="9" t="n">
        <v>4.263330912345848e-14</v>
      </c>
      <c r="U11" s="9" t="n">
        <v>4.296848500686424e-14</v>
      </c>
      <c r="V11" s="9" t="n">
        <v>9.753147544388755e-13</v>
      </c>
      <c r="W11" s="9" t="n">
        <v>-5.16653220157547e-13</v>
      </c>
      <c r="X11" s="9" t="n">
        <v>-2.276776093787811e-13</v>
      </c>
      <c r="Y11" s="9" t="n">
        <v>-2.309839249025473e-13</v>
      </c>
    </row>
    <row r="12">
      <c r="A12" s="2" t="inlineStr">
        <is>
          <t>XNM11</t>
        </is>
      </c>
      <c r="B12" s="2" t="inlineStr">
        <is>
          <t>NMOS</t>
        </is>
      </c>
      <c r="C12" s="5" t="n">
        <v>35</v>
      </c>
      <c r="D12" s="5" t="n">
        <v>4.224389082536191e-13</v>
      </c>
      <c r="E12" s="5" t="n">
        <v>-3.707318906068597e-13</v>
      </c>
      <c r="F12" s="5" t="n">
        <v>-4.665453476545835e-17</v>
      </c>
      <c r="G12" s="5" t="n">
        <v>-5.166036311199392e-14</v>
      </c>
      <c r="H12" s="5" t="n">
        <v>-1.340049221346683e-13</v>
      </c>
      <c r="I12" s="5" t="n">
        <v>6.015795073910204e-17</v>
      </c>
      <c r="J12" s="5" t="n">
        <v>1.612046282122304e-13</v>
      </c>
      <c r="K12" s="5" t="n">
        <v>-2.725986402830115e-14</v>
      </c>
      <c r="L12" s="5" t="n">
        <v>-2.008321709589249e-13</v>
      </c>
      <c r="M12" s="5" t="n">
        <v>1.526846159290295e-17</v>
      </c>
      <c r="N12" s="5" t="n">
        <v>2.41654354274121e-13</v>
      </c>
      <c r="O12" s="5" t="n">
        <v>-4.0837451776789e-14</v>
      </c>
      <c r="P12" s="5" t="n">
        <v>-8.760181516002592e-14</v>
      </c>
      <c r="Q12" s="5" t="n">
        <v>-2.877187756654664e-17</v>
      </c>
      <c r="R12" s="5" t="n">
        <v>-3.212709187949159e-14</v>
      </c>
      <c r="S12" s="5" t="n">
        <v>1.197576789170841e-13</v>
      </c>
      <c r="T12" s="5" t="n">
        <v>1.057814379708573e-14</v>
      </c>
      <c r="U12" s="5" t="n">
        <v>1.997810223912141e-14</v>
      </c>
      <c r="V12" s="5" t="n">
        <v>3.147103719143351e-13</v>
      </c>
      <c r="W12" s="5" t="n">
        <v>-2.279611605897847e-13</v>
      </c>
      <c r="X12" s="5" t="n">
        <v>-3.471432058223722e-14</v>
      </c>
      <c r="Y12" s="5" t="n">
        <v>-5.203489074231316e-14</v>
      </c>
    </row>
    <row r="13">
      <c r="A13" s="6" t="inlineStr">
        <is>
          <t>XNM9</t>
        </is>
      </c>
      <c r="B13" s="6" t="inlineStr">
        <is>
          <t>NMOS</t>
        </is>
      </c>
      <c r="C13" s="9" t="n">
        <v>35</v>
      </c>
      <c r="D13" s="9" t="n">
        <v>4.190943422506058e-13</v>
      </c>
      <c r="E13" s="9" t="n">
        <v>-3.667095067337139e-13</v>
      </c>
      <c r="F13" s="9" t="n">
        <v>-2.329692302237193e-17</v>
      </c>
      <c r="G13" s="9" t="n">
        <v>-5.236153859386953e-14</v>
      </c>
      <c r="H13" s="9" t="n">
        <v>-1.326350073535208e-13</v>
      </c>
      <c r="I13" s="9" t="n">
        <v>3.032387744701042e-17</v>
      </c>
      <c r="J13" s="9" t="n">
        <v>1.595252160237995e-13</v>
      </c>
      <c r="K13" s="9" t="n">
        <v>-2.692053254772571e-14</v>
      </c>
      <c r="L13" s="9" t="n">
        <v>-1.988450293527688e-13</v>
      </c>
      <c r="M13" s="9" t="n">
        <v>7.456157086165722e-18</v>
      </c>
      <c r="N13" s="9" t="n">
        <v>2.391857180499735e-13</v>
      </c>
      <c r="O13" s="9" t="n">
        <v>-4.034814485429091e-14</v>
      </c>
      <c r="P13" s="9" t="n">
        <v>-8.761430554431619e-14</v>
      </c>
      <c r="Q13" s="9" t="n">
        <v>-1.44831115108042e-17</v>
      </c>
      <c r="R13" s="9" t="n">
        <v>-3.200142734005915e-14</v>
      </c>
      <c r="S13" s="9" t="n">
        <v>1.196302159958861e-13</v>
      </c>
      <c r="T13" s="9" t="n">
        <v>9.628284276622655e-15</v>
      </c>
      <c r="U13" s="9" t="n">
        <v>1.988545996100632e-14</v>
      </c>
      <c r="V13" s="9" t="n">
        <v>3.128292742036394e-13</v>
      </c>
      <c r="W13" s="9" t="n">
        <v>-2.281289723545646e-13</v>
      </c>
      <c r="X13" s="9" t="n">
        <v>-3.388935076336026e-14</v>
      </c>
      <c r="Y13" s="9" t="n">
        <v>-5.081095108571451e-14</v>
      </c>
    </row>
    <row r="14">
      <c r="A14" s="2" t="inlineStr">
        <is>
          <t>XPM6</t>
        </is>
      </c>
      <c r="B14" s="2" t="inlineStr">
        <is>
          <t>PMOS</t>
        </is>
      </c>
      <c r="C14" s="5" t="n">
        <v>35</v>
      </c>
      <c r="D14" s="5" t="n">
        <v>1.642641516155425e-13</v>
      </c>
      <c r="E14" s="5" t="n">
        <v>-1.4429044005231e-13</v>
      </c>
      <c r="F14" s="5" t="n">
        <v>-5.407716499903652e-17</v>
      </c>
      <c r="G14" s="5" t="n">
        <v>-1.99196343982335e-14</v>
      </c>
      <c r="H14" s="5" t="n">
        <v>-5.148632343035931e-14</v>
      </c>
      <c r="I14" s="5" t="n">
        <v>7.231301087387634e-17</v>
      </c>
      <c r="J14" s="5" t="n">
        <v>6.757335848668421e-14</v>
      </c>
      <c r="K14" s="5" t="n">
        <v>-1.615934806719877e-14</v>
      </c>
      <c r="L14" s="5" t="n">
        <v>-7.705543328217548e-14</v>
      </c>
      <c r="M14" s="5" t="n">
        <v>1.917965256167605e-17</v>
      </c>
      <c r="N14" s="5" t="n">
        <v>1.012120510689266e-13</v>
      </c>
      <c r="O14" s="5" t="n">
        <v>-2.417579743931281e-14</v>
      </c>
      <c r="P14" s="5" t="n">
        <v>-3.572239490300773e-14</v>
      </c>
      <c r="Q14" s="5" t="n">
        <v>-3.741549843651587e-17</v>
      </c>
      <c r="R14" s="5" t="n">
        <v>-2.449496950330084e-14</v>
      </c>
      <c r="S14" s="5" t="n">
        <v>6.025477990474508e-14</v>
      </c>
      <c r="T14" s="5" t="n">
        <v>7.168159071340482e-15</v>
      </c>
      <c r="U14" s="5" t="n">
        <v>6.30488291931698e-15</v>
      </c>
      <c r="V14" s="5" t="n">
        <v>1.60100866900299e-13</v>
      </c>
      <c r="W14" s="5" t="n">
        <v>-1.340482099372303e-13</v>
      </c>
      <c r="X14" s="5" t="n">
        <v>-1.043208950484991e-14</v>
      </c>
      <c r="Y14" s="5" t="n">
        <v>-1.562056745821879e-14</v>
      </c>
    </row>
    <row r="15">
      <c r="A15" s="6" t="inlineStr">
        <is>
          <t>XPM16</t>
        </is>
      </c>
      <c r="B15" s="6" t="inlineStr">
        <is>
          <t>PMOS</t>
        </is>
      </c>
      <c r="C15" s="9" t="n">
        <v>35</v>
      </c>
      <c r="D15" s="9" t="n">
        <v>1.644798614953417e-13</v>
      </c>
      <c r="E15" s="9" t="n">
        <v>-1.443913063657182e-13</v>
      </c>
      <c r="F15" s="9" t="n">
        <v>-2.386364084219822e-16</v>
      </c>
      <c r="G15" s="9" t="n">
        <v>-1.984991872120156e-14</v>
      </c>
      <c r="H15" s="9" t="n">
        <v>-5.177300066703153e-14</v>
      </c>
      <c r="I15" s="9" t="n">
        <v>3.166913585250624e-16</v>
      </c>
      <c r="J15" s="9" t="n">
        <v>6.77152661905242e-14</v>
      </c>
      <c r="K15" s="9" t="n">
        <v>-1.625895688201774e-14</v>
      </c>
      <c r="L15" s="9" t="n">
        <v>-7.713371362360547e-14</v>
      </c>
      <c r="M15" s="9" t="n">
        <v>8.705540544103366e-17</v>
      </c>
      <c r="N15" s="9" t="n">
        <v>1.012497400632262e-13</v>
      </c>
      <c r="O15" s="9" t="n">
        <v>-2.420308184506179e-14</v>
      </c>
      <c r="P15" s="9" t="n">
        <v>-3.55731472047047e-14</v>
      </c>
      <c r="Q15" s="9" t="n">
        <v>-1.651103555441138e-16</v>
      </c>
      <c r="R15" s="9" t="n">
        <v>-2.457369988803227e-14</v>
      </c>
      <c r="S15" s="9" t="n">
        <v>6.031195744828108e-14</v>
      </c>
      <c r="T15" s="9" t="n">
        <v>8.025669129484461e-15</v>
      </c>
      <c r="U15" s="9" t="n">
        <v>6.304882919309133e-15</v>
      </c>
      <c r="V15" s="9" t="n">
        <v>1.601291135348124e-13</v>
      </c>
      <c r="W15" s="9" t="n">
        <v>-1.340286663483829e-13</v>
      </c>
      <c r="X15" s="9" t="n">
        <v>-1.046970603415613e-14</v>
      </c>
      <c r="Y15" s="9" t="n">
        <v>-1.563074115227336e-14</v>
      </c>
    </row>
    <row r="16">
      <c r="A16" s="2" t="inlineStr">
        <is>
          <t>XPM15</t>
        </is>
      </c>
      <c r="B16" s="2" t="inlineStr">
        <is>
          <t>PMOS</t>
        </is>
      </c>
      <c r="C16" s="5" t="n">
        <v>35</v>
      </c>
      <c r="D16" s="5" t="n">
        <v>4.950992407807998e-13</v>
      </c>
      <c r="E16" s="5" t="n">
        <v>-1.389626673227199e-13</v>
      </c>
      <c r="F16" s="5" t="n">
        <v>-1.009575171543274e-17</v>
      </c>
      <c r="G16" s="5" t="n">
        <v>-3.561264777063645e-13</v>
      </c>
      <c r="H16" s="5" t="n">
        <v>-5.611509779542176e-14</v>
      </c>
      <c r="I16" s="5" t="n">
        <v>1.306561984600196e-17</v>
      </c>
      <c r="J16" s="5" t="n">
        <v>7.489572564433951e-14</v>
      </c>
      <c r="K16" s="5" t="n">
        <v>-1.879369346876375e-14</v>
      </c>
      <c r="L16" s="5" t="n">
        <v>-8.410149247852412e-14</v>
      </c>
      <c r="M16" s="5" t="n">
        <v>3.403101632895063e-18</v>
      </c>
      <c r="N16" s="5" t="n">
        <v>1.122623384064383e-13</v>
      </c>
      <c r="O16" s="5" t="n">
        <v>-2.816424902954695e-14</v>
      </c>
      <c r="P16" s="5" t="n">
        <v>-3.548826505068539e-13</v>
      </c>
      <c r="Q16" s="5" t="n">
        <v>-6.372969763464283e-18</v>
      </c>
      <c r="R16" s="5" t="n">
        <v>-4.819539672805789e-14</v>
      </c>
      <c r="S16" s="5" t="n">
        <v>4.030844202046753e-13</v>
      </c>
      <c r="T16" s="5" t="n">
        <v>4.18250837290598e-14</v>
      </c>
      <c r="U16" s="5" t="n">
        <v>4.005151034816193e-14</v>
      </c>
      <c r="V16" s="5" t="n">
        <v>8.189272777358879e-13</v>
      </c>
      <c r="W16" s="5" t="n">
        <v>-8.044000228569468e-13</v>
      </c>
      <c r="X16" s="5" t="n">
        <v>-5.813801584562411e-15</v>
      </c>
      <c r="Y16" s="5" t="n">
        <v>-8.713453294378691e-15</v>
      </c>
    </row>
    <row r="17">
      <c r="A17" s="6" t="inlineStr">
        <is>
          <t>XNM8</t>
        </is>
      </c>
      <c r="B17" s="6" t="inlineStr">
        <is>
          <t>NMOS</t>
        </is>
      </c>
      <c r="C17" s="9" t="n">
        <v>35</v>
      </c>
      <c r="D17" s="9" t="n">
        <v>1.895327317977331e-13</v>
      </c>
      <c r="E17" s="9" t="n">
        <v>-1.582008976661236e-13</v>
      </c>
      <c r="F17" s="9" t="n">
        <v>-2.776364183162079e-17</v>
      </c>
      <c r="G17" s="9" t="n">
        <v>-3.130407048977781e-14</v>
      </c>
      <c r="H17" s="9" t="n">
        <v>-5.868344377807079e-14</v>
      </c>
      <c r="I17" s="9" t="n">
        <v>3.534560218556529e-17</v>
      </c>
      <c r="J17" s="9" t="n">
        <v>7.150258160065714e-14</v>
      </c>
      <c r="K17" s="9" t="n">
        <v>-1.285448342477192e-14</v>
      </c>
      <c r="L17" s="9" t="n">
        <v>-8.792757347133659e-14</v>
      </c>
      <c r="M17" s="9" t="n">
        <v>9.003217970357971e-18</v>
      </c>
      <c r="N17" s="9" t="n">
        <v>1.071719406096115e-13</v>
      </c>
      <c r="O17" s="9" t="n">
        <v>-1.92533703562453e-14</v>
      </c>
      <c r="P17" s="9" t="n">
        <v>-4.292171454832573e-14</v>
      </c>
      <c r="Q17" s="9" t="n">
        <v>-1.658517832430247e-17</v>
      </c>
      <c r="R17" s="9" t="n">
        <v>-2.0473624544145e-14</v>
      </c>
      <c r="S17" s="9" t="n">
        <v>6.341192427079503e-14</v>
      </c>
      <c r="T17" s="9" t="n">
        <v>5.841145593065067e-15</v>
      </c>
      <c r="U17" s="9" t="n">
        <v>8.904287632735478e-15</v>
      </c>
      <c r="V17" s="9" t="n">
        <v>1.409238234715019e-13</v>
      </c>
      <c r="W17" s="9" t="n">
        <v>-1.055261470791444e-13</v>
      </c>
      <c r="X17" s="9" t="n">
        <v>-1.416668345236916e-14</v>
      </c>
      <c r="Y17" s="9" t="n">
        <v>-2.123099293998825e-14</v>
      </c>
    </row>
    <row r="19">
      <c r="A19" t="inlineStr">
        <is>
          <t>Native BSIM capacitance/charge matrix. Preserve signs of cross terms.</t>
        </is>
      </c>
    </row>
  </sheetData>
  <autoFilter ref="A1:Y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14" customWidth="1" min="3" max="3"/>
  </cols>
  <sheetData>
    <row r="1" ht="34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DC_Gain_dB</t>
        </is>
      </c>
      <c r="B2" s="5" t="n">
        <v>18.8238</v>
      </c>
      <c r="C2" s="2" t="inlineStr">
        <is>
          <t>dB</t>
        </is>
      </c>
    </row>
    <row r="3">
      <c r="A3" s="6" t="inlineStr">
        <is>
          <t>UGF_Hz</t>
        </is>
      </c>
      <c r="B3" s="9" t="n">
        <v>583113</v>
      </c>
      <c r="C3" s="6" t="inlineStr">
        <is>
          <t>Hz</t>
        </is>
      </c>
    </row>
    <row r="4">
      <c r="A4" s="2" t="inlineStr">
        <is>
          <t>Phase_Margin_deg</t>
        </is>
      </c>
      <c r="B4" s="5" t="n">
        <v>93.4234</v>
      </c>
      <c r="C4" s="2" t="inlineStr">
        <is>
          <t>deg</t>
        </is>
      </c>
    </row>
    <row r="5">
      <c r="A5" s="6" t="inlineStr">
        <is>
          <t>CMRR_dB</t>
        </is>
      </c>
      <c r="B5" s="9" t="n">
        <v>-2.80394</v>
      </c>
      <c r="C5" s="6" t="inlineStr">
        <is>
          <t>dB</t>
        </is>
      </c>
    </row>
    <row r="6">
      <c r="A6" s="2" t="inlineStr">
        <is>
          <t>PSRR_Plus_dB</t>
        </is>
      </c>
      <c r="B6" s="5" t="n">
        <v>17.2971</v>
      </c>
      <c r="C6" s="2" t="inlineStr">
        <is>
          <t>dB</t>
        </is>
      </c>
    </row>
    <row r="7">
      <c r="A7" s="6" t="inlineStr">
        <is>
          <t>PSRR_Minus_dB</t>
        </is>
      </c>
      <c r="B7" s="9" t="n">
        <v>-11.5141</v>
      </c>
      <c r="C7" s="6" t="inlineStr">
        <is>
          <t>dB</t>
        </is>
      </c>
    </row>
    <row r="8">
      <c r="A8" s="2" t="inlineStr">
        <is>
          <t>Slew_Rise_V_us</t>
        </is>
      </c>
      <c r="B8" s="5" t="n">
        <v>1.72931</v>
      </c>
      <c r="C8" s="2" t="inlineStr">
        <is>
          <t>V/us</t>
        </is>
      </c>
    </row>
    <row r="9">
      <c r="A9" s="6" t="inlineStr">
        <is>
          <t>Slew_Fall_V_us</t>
        </is>
      </c>
      <c r="B9" s="9" t="n">
        <v>1.05885</v>
      </c>
      <c r="C9" s="6" t="inlineStr">
        <is>
          <t>V/us</t>
        </is>
      </c>
    </row>
    <row r="10">
      <c r="A10" s="2" t="inlineStr">
        <is>
          <t>Power_Quiescent_uW</t>
        </is>
      </c>
      <c r="B10" s="5" t="n">
        <v>432.398</v>
      </c>
      <c r="C10" s="2" t="inlineStr">
        <is>
          <t>uW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8" customWidth="1" min="3" max="3"/>
    <col width="14" customWidth="1" min="4" max="4"/>
    <col width="100" customWidth="1" min="5" max="5"/>
  </cols>
  <sheetData>
    <row r="1" ht="34" customHeight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Notes</t>
        </is>
      </c>
    </row>
    <row r="2">
      <c r="A2" s="2" t="inlineStr">
        <is>
          <t>DC snapshot</t>
        </is>
      </c>
      <c r="B2" s="2" t="inlineStr">
        <is>
          <t>Instance</t>
        </is>
      </c>
      <c r="C2" s="2" t="inlineStr">
        <is>
          <t>XDUT_CM</t>
        </is>
      </c>
      <c r="D2" s="2" t="inlineStr"/>
      <c r="E2" s="2" t="inlineStr">
        <is>
          <t>Quiet voltage follower; same instance as quiescent power</t>
        </is>
      </c>
    </row>
    <row r="3">
      <c r="A3" s="6" t="inlineStr">
        <is>
          <t>DC snapshot</t>
        </is>
      </c>
      <c r="B3" s="6" t="inlineStr">
        <is>
          <t>VINP_actual</t>
        </is>
      </c>
      <c r="C3" s="9" t="n">
        <v>0.72</v>
      </c>
      <c r="D3" s="6" t="inlineStr">
        <is>
          <t>V</t>
        </is>
      </c>
      <c r="E3" s="6" t="inlineStr">
        <is>
          <t>Actual node voltage, not the requested target</t>
        </is>
      </c>
    </row>
    <row r="4">
      <c r="A4" s="2" t="inlineStr">
        <is>
          <t>DC snapshot</t>
        </is>
      </c>
      <c r="B4" s="2" t="inlineStr">
        <is>
          <t>VINN_actual</t>
        </is>
      </c>
      <c r="C4" s="5" t="n">
        <v>0.9322371439822206</v>
      </c>
      <c r="D4" s="2" t="inlineStr">
        <is>
          <t>V</t>
        </is>
      </c>
      <c r="E4" s="2" t="inlineStr">
        <is>
          <t>Feedback input may differ from VINP at an unhealthy point</t>
        </is>
      </c>
    </row>
    <row r="5">
      <c r="A5" s="6" t="inlineStr">
        <is>
          <t>DC snapshot</t>
        </is>
      </c>
      <c r="B5" s="6" t="inlineStr">
        <is>
          <t>VOUT_actual</t>
        </is>
      </c>
      <c r="C5" s="9" t="n">
        <v>0.9322371439822206</v>
      </c>
      <c r="D5" s="6" t="inlineStr">
        <is>
          <t>V</t>
        </is>
      </c>
      <c r="E5" s="6" t="inlineStr">
        <is>
          <t>Actual solved DC output</t>
        </is>
      </c>
    </row>
    <row r="6">
      <c r="A6" s="2" t="inlineStr">
        <is>
          <t>DC snapshot</t>
        </is>
      </c>
      <c r="B6" s="2" t="inlineStr">
        <is>
          <t>Follower_error</t>
        </is>
      </c>
      <c r="C6" s="5" t="n">
        <v>0.2122371439822206</v>
      </c>
      <c r="D6" s="2" t="inlineStr">
        <is>
          <t>V</t>
        </is>
      </c>
      <c r="E6" s="2" t="inlineStr">
        <is>
          <t>VOUT minus VINP; signed</t>
        </is>
      </c>
    </row>
    <row r="7">
      <c r="A7" s="6" t="inlineStr">
        <is>
          <t>DC snapshot</t>
        </is>
      </c>
      <c r="B7" s="6" t="inlineStr">
        <is>
          <t>DM_CM_bias_difference</t>
        </is>
      </c>
      <c r="C7" s="9" t="n">
        <v>-1.254552017826427e-14</v>
      </c>
      <c r="D7" s="6" t="inlineStr">
        <is>
          <t>V</t>
        </is>
      </c>
      <c r="E7" s="6" t="inlineStr">
        <is>
          <t>OUT_DM minus OUT_CM</t>
        </is>
      </c>
    </row>
    <row r="8">
      <c r="A8" s="2" t="inlineStr">
        <is>
          <t>DC snapshot</t>
        </is>
      </c>
      <c r="B8" s="2" t="inlineStr">
        <is>
          <t>Power_Quiescent</t>
        </is>
      </c>
      <c r="C8" s="5" t="n">
        <v>432.3977438194273</v>
      </c>
      <c r="D8" s="2" t="inlineStr">
        <is>
          <t>uW</t>
        </is>
      </c>
      <c r="E8" s="2" t="inlineStr">
        <is>
          <t>One DUT instance only</t>
        </is>
      </c>
    </row>
    <row r="9">
      <c r="A9" s="6" t="inlineStr">
        <is>
          <t>Test condition</t>
        </is>
      </c>
      <c r="B9" s="6" t="inlineStr">
        <is>
          <t>SUPPLY_VDD</t>
        </is>
      </c>
      <c r="C9" s="9" t="n">
        <v>1.8</v>
      </c>
      <c r="D9" s="6" t="inlineStr">
        <is>
          <t>V</t>
        </is>
      </c>
      <c r="E9" s="6" t="inlineStr"/>
    </row>
    <row r="10">
      <c r="A10" s="2" t="inlineStr">
        <is>
          <t>Test condition</t>
        </is>
      </c>
      <c r="B10" s="2" t="inlineStr">
        <is>
          <t>SUPPLY_VSS</t>
        </is>
      </c>
      <c r="C10" s="5" t="n">
        <v>0</v>
      </c>
      <c r="D10" s="2" t="inlineStr">
        <is>
          <t>V</t>
        </is>
      </c>
      <c r="E10" s="2" t="inlineStr"/>
    </row>
    <row r="11">
      <c r="A11" s="6" t="inlineStr">
        <is>
          <t>Test condition</t>
        </is>
      </c>
      <c r="B11" s="6" t="inlineStr">
        <is>
          <t>INPUT_VCM</t>
        </is>
      </c>
      <c r="C11" s="9" t="n">
        <v>0.7200000000000001</v>
      </c>
      <c r="D11" s="6" t="inlineStr">
        <is>
          <t>V</t>
        </is>
      </c>
      <c r="E11" s="6" t="inlineStr"/>
    </row>
    <row r="12">
      <c r="A12" s="2" t="inlineStr">
        <is>
          <t>Test condition</t>
        </is>
      </c>
      <c r="B12" s="2" t="inlineStr">
        <is>
          <t>LOAD_C</t>
        </is>
      </c>
      <c r="C12" s="5" t="n">
        <v>1e-12</v>
      </c>
      <c r="D12" s="2" t="inlineStr">
        <is>
          <t>F</t>
        </is>
      </c>
      <c r="E12" s="2" t="inlineStr"/>
    </row>
    <row r="13">
      <c r="A13" s="6" t="inlineStr">
        <is>
          <t>Test condition</t>
        </is>
      </c>
      <c r="B13" s="6" t="inlineStr">
        <is>
          <t>AC_DENSITY</t>
        </is>
      </c>
      <c r="C13" s="9" t="n">
        <v>100</v>
      </c>
      <c r="D13" s="6" t="inlineStr">
        <is>
          <t>points/dec</t>
        </is>
      </c>
      <c r="E13" s="6" t="inlineStr"/>
    </row>
    <row r="14">
      <c r="A14" s="2" t="inlineStr">
        <is>
          <t>Test condition</t>
        </is>
      </c>
      <c r="B14" s="2" t="inlineStr">
        <is>
          <t>AC_START_HZ</t>
        </is>
      </c>
      <c r="C14" s="5" t="n">
        <v>0.1</v>
      </c>
      <c r="D14" s="2" t="inlineStr">
        <is>
          <t>Hz</t>
        </is>
      </c>
      <c r="E14" s="2" t="inlineStr"/>
    </row>
    <row r="15">
      <c r="A15" s="6" t="inlineStr">
        <is>
          <t>Test condition</t>
        </is>
      </c>
      <c r="B15" s="6" t="inlineStr">
        <is>
          <t>AC_STOP_HZ</t>
        </is>
      </c>
      <c r="C15" s="9" t="n">
        <v>50000000000</v>
      </c>
      <c r="D15" s="6" t="inlineStr">
        <is>
          <t>Hz</t>
        </is>
      </c>
      <c r="E15" s="6" t="inlineStr"/>
    </row>
    <row r="16">
      <c r="A16" s="2" t="inlineStr">
        <is>
          <t>Test condition</t>
        </is>
      </c>
      <c r="B16" s="2" t="inlineStr">
        <is>
          <t>REF_HZ</t>
        </is>
      </c>
      <c r="C16" s="5" t="n">
        <v>1</v>
      </c>
      <c r="D16" s="2" t="inlineStr">
        <is>
          <t>Hz</t>
        </is>
      </c>
      <c r="E16" s="2" t="inlineStr"/>
    </row>
    <row r="17">
      <c r="A17" s="6" t="inlineStr">
        <is>
          <t>Test condition</t>
        </is>
      </c>
      <c r="B17" s="6" t="inlineStr">
        <is>
          <t>SR_LOW</t>
        </is>
      </c>
      <c r="C17" s="9" t="n">
        <v>0.7000000000000001</v>
      </c>
      <c r="D17" s="6" t="inlineStr">
        <is>
          <t>V</t>
        </is>
      </c>
      <c r="E17" s="6" t="inlineStr"/>
    </row>
    <row r="18">
      <c r="A18" s="2" t="inlineStr">
        <is>
          <t>Test condition</t>
        </is>
      </c>
      <c r="B18" s="2" t="inlineStr">
        <is>
          <t>SR_HIGH</t>
        </is>
      </c>
      <c r="C18" s="5" t="n">
        <v>1.1</v>
      </c>
      <c r="D18" s="2" t="inlineStr">
        <is>
          <t>V</t>
        </is>
      </c>
      <c r="E18" s="2" t="inlineStr"/>
    </row>
    <row r="19">
      <c r="A19" s="6" t="inlineStr">
        <is>
          <t>Test condition</t>
        </is>
      </c>
      <c r="B19" s="6" t="inlineStr">
        <is>
          <t>TEMP</t>
        </is>
      </c>
      <c r="C19" s="9" t="n">
        <v>27</v>
      </c>
      <c r="D19" s="6" t="inlineStr">
        <is>
          <t>degC</t>
        </is>
      </c>
      <c r="E19" s="6" t="inlineStr"/>
    </row>
    <row r="20">
      <c r="A20" s="2" t="inlineStr">
        <is>
          <t>Test condition</t>
        </is>
      </c>
      <c r="B20" s="2" t="inlineStr">
        <is>
          <t>PDK_PATH</t>
        </is>
      </c>
      <c r="C20" s="2" t="inlineStr">
        <is>
          <t>/share/home/202411094934/python_project/pdk/sky130A/libs.tech/ngspice/sky130.lib.spice</t>
        </is>
      </c>
      <c r="D20" s="2" t="inlineStr"/>
      <c r="E20" s="2" t="inlineStr">
        <is>
          <t>Model library used for this run</t>
        </is>
      </c>
    </row>
    <row r="21">
      <c r="A21" s="6" t="inlineStr">
        <is>
          <t>Test condition</t>
        </is>
      </c>
      <c r="B21" s="6" t="inlineStr">
        <is>
          <t>CORNER</t>
        </is>
      </c>
      <c r="C21" s="6" t="inlineStr">
        <is>
          <t>tt</t>
        </is>
      </c>
      <c r="D21" s="6" t="inlineStr"/>
      <c r="E21" s="6" t="inlineStr"/>
    </row>
    <row r="22">
      <c r="A22" s="2" t="inlineStr">
        <is>
          <t>Design parameter</t>
        </is>
      </c>
      <c r="B22" s="2" t="inlineStr">
        <is>
          <t>DESVAR_W1</t>
        </is>
      </c>
      <c r="C22" s="5" t="n">
        <v>8.199999999999999</v>
      </c>
      <c r="D22" s="2" t="inlineStr">
        <is>
          <t>um</t>
        </is>
      </c>
      <c r="E22" s="2" t="inlineStr">
        <is>
          <t>Resolved numeric value</t>
        </is>
      </c>
    </row>
    <row r="23">
      <c r="A23" s="6" t="inlineStr">
        <is>
          <t>Design parameter</t>
        </is>
      </c>
      <c r="B23" s="6" t="inlineStr">
        <is>
          <t>DESVAR_L1</t>
        </is>
      </c>
      <c r="C23" s="9" t="n">
        <v>0.91</v>
      </c>
      <c r="D23" s="6" t="inlineStr">
        <is>
          <t>um</t>
        </is>
      </c>
      <c r="E23" s="6" t="inlineStr">
        <is>
          <t>Resolved numeric value</t>
        </is>
      </c>
    </row>
    <row r="24">
      <c r="A24" s="2" t="inlineStr">
        <is>
          <t>Design parameter</t>
        </is>
      </c>
      <c r="B24" s="2" t="inlineStr">
        <is>
          <t>DESVAR_W2</t>
        </is>
      </c>
      <c r="C24" s="5" t="n">
        <v>1.16</v>
      </c>
      <c r="D24" s="2" t="inlineStr">
        <is>
          <t>um</t>
        </is>
      </c>
      <c r="E24" s="2" t="inlineStr">
        <is>
          <t>Resolved numeric value</t>
        </is>
      </c>
    </row>
    <row r="25">
      <c r="A25" s="6" t="inlineStr">
        <is>
          <t>Design parameter</t>
        </is>
      </c>
      <c r="B25" s="6" t="inlineStr">
        <is>
          <t>DESVAR_L2</t>
        </is>
      </c>
      <c r="C25" s="9" t="n">
        <v>0.73</v>
      </c>
      <c r="D25" s="6" t="inlineStr">
        <is>
          <t>um</t>
        </is>
      </c>
      <c r="E25" s="6" t="inlineStr">
        <is>
          <t>Resolved numeric value</t>
        </is>
      </c>
    </row>
    <row r="26">
      <c r="A26" s="2" t="inlineStr">
        <is>
          <t>Design parameter</t>
        </is>
      </c>
      <c r="B26" s="2" t="inlineStr">
        <is>
          <t>DESVAR_W3</t>
        </is>
      </c>
      <c r="C26" s="5" t="n">
        <v>1.78</v>
      </c>
      <c r="D26" s="2" t="inlineStr">
        <is>
          <t>um</t>
        </is>
      </c>
      <c r="E26" s="2" t="inlineStr">
        <is>
          <t>Resolved numeric value</t>
        </is>
      </c>
    </row>
    <row r="27">
      <c r="A27" s="6" t="inlineStr">
        <is>
          <t>Design parameter</t>
        </is>
      </c>
      <c r="B27" s="6" t="inlineStr">
        <is>
          <t>DESVAR_L3</t>
        </is>
      </c>
      <c r="C27" s="9" t="n">
        <v>0.71</v>
      </c>
      <c r="D27" s="6" t="inlineStr">
        <is>
          <t>um</t>
        </is>
      </c>
      <c r="E27" s="6" t="inlineStr">
        <is>
          <t>Resolved numeric value</t>
        </is>
      </c>
    </row>
    <row r="28">
      <c r="A28" s="2" t="inlineStr">
        <is>
          <t>Design parameter</t>
        </is>
      </c>
      <c r="B28" s="2" t="inlineStr">
        <is>
          <t>DESVAR_W4</t>
        </is>
      </c>
      <c r="C28" s="5" t="n">
        <v>7.38</v>
      </c>
      <c r="D28" s="2" t="inlineStr">
        <is>
          <t>um</t>
        </is>
      </c>
      <c r="E28" s="2" t="inlineStr">
        <is>
          <t>Resolved numeric value</t>
        </is>
      </c>
    </row>
    <row r="29">
      <c r="A29" s="6" t="inlineStr">
        <is>
          <t>Design parameter</t>
        </is>
      </c>
      <c r="B29" s="6" t="inlineStr">
        <is>
          <t>DESVAR_L4</t>
        </is>
      </c>
      <c r="C29" s="9" t="n">
        <v>0.86</v>
      </c>
      <c r="D29" s="6" t="inlineStr">
        <is>
          <t>um</t>
        </is>
      </c>
      <c r="E29" s="6" t="inlineStr">
        <is>
          <t>Resolved numeric value</t>
        </is>
      </c>
    </row>
    <row r="30">
      <c r="A30" s="2" t="inlineStr">
        <is>
          <t>Design parameter</t>
        </is>
      </c>
      <c r="B30" s="2" t="inlineStr">
        <is>
          <t>DESVAR_W5</t>
        </is>
      </c>
      <c r="C30" s="5" t="n">
        <v>3.47</v>
      </c>
      <c r="D30" s="2" t="inlineStr">
        <is>
          <t>um</t>
        </is>
      </c>
      <c r="E30" s="2" t="inlineStr">
        <is>
          <t>Resolved numeric value</t>
        </is>
      </c>
    </row>
    <row r="31">
      <c r="A31" s="6" t="inlineStr">
        <is>
          <t>Design parameter</t>
        </is>
      </c>
      <c r="B31" s="6" t="inlineStr">
        <is>
          <t>DESVAR_L5</t>
        </is>
      </c>
      <c r="C31" s="9" t="n">
        <v>0.76</v>
      </c>
      <c r="D31" s="6" t="inlineStr">
        <is>
          <t>um</t>
        </is>
      </c>
      <c r="E31" s="6" t="inlineStr">
        <is>
          <t>Resolved numeric value</t>
        </is>
      </c>
    </row>
    <row r="32">
      <c r="A32" s="2" t="inlineStr">
        <is>
          <t>Design parameter</t>
        </is>
      </c>
      <c r="B32" s="2" t="inlineStr">
        <is>
          <t>DESVAR_W6</t>
        </is>
      </c>
      <c r="C32" s="5" t="n">
        <v>1.22</v>
      </c>
      <c r="D32" s="2" t="inlineStr">
        <is>
          <t>um</t>
        </is>
      </c>
      <c r="E32" s="2" t="inlineStr">
        <is>
          <t>Resolved numeric value</t>
        </is>
      </c>
    </row>
    <row r="33">
      <c r="A33" s="6" t="inlineStr">
        <is>
          <t>Design parameter</t>
        </is>
      </c>
      <c r="B33" s="6" t="inlineStr">
        <is>
          <t>DESVAR_L6</t>
        </is>
      </c>
      <c r="C33" s="9" t="n">
        <v>0.75</v>
      </c>
      <c r="D33" s="6" t="inlineStr">
        <is>
          <t>um</t>
        </is>
      </c>
      <c r="E33" s="6" t="inlineStr">
        <is>
          <t>Resolved numeric value</t>
        </is>
      </c>
    </row>
    <row r="34">
      <c r="A34" s="2" t="inlineStr">
        <is>
          <t>Design parameter</t>
        </is>
      </c>
      <c r="B34" s="2" t="inlineStr">
        <is>
          <t>DESVAR_W7</t>
        </is>
      </c>
      <c r="C34" s="5" t="n">
        <v>7.75</v>
      </c>
      <c r="D34" s="2" t="inlineStr">
        <is>
          <t>um</t>
        </is>
      </c>
      <c r="E34" s="2" t="inlineStr">
        <is>
          <t>Resolved numeric value</t>
        </is>
      </c>
    </row>
    <row r="35">
      <c r="A35" s="6" t="inlineStr">
        <is>
          <t>Design parameter</t>
        </is>
      </c>
      <c r="B35" s="6" t="inlineStr">
        <is>
          <t>DESVAR_L7</t>
        </is>
      </c>
      <c r="C35" s="9" t="n">
        <v>0.79</v>
      </c>
      <c r="D35" s="6" t="inlineStr">
        <is>
          <t>um</t>
        </is>
      </c>
      <c r="E35" s="6" t="inlineStr">
        <is>
          <t>Resolved numeric value</t>
        </is>
      </c>
    </row>
    <row r="36">
      <c r="A36" s="2" t="inlineStr">
        <is>
          <t>Design parameter</t>
        </is>
      </c>
      <c r="B36" s="2" t="inlineStr">
        <is>
          <t>DESVAR_W8</t>
        </is>
      </c>
      <c r="C36" s="5" t="n">
        <v>0.67</v>
      </c>
      <c r="D36" s="2" t="inlineStr">
        <is>
          <t>um</t>
        </is>
      </c>
      <c r="E36" s="2" t="inlineStr">
        <is>
          <t>Resolved numeric value</t>
        </is>
      </c>
    </row>
    <row r="37">
      <c r="A37" s="6" t="inlineStr">
        <is>
          <t>Design parameter</t>
        </is>
      </c>
      <c r="B37" s="6" t="inlineStr">
        <is>
          <t>DESVAR_L8</t>
        </is>
      </c>
      <c r="C37" s="9" t="n">
        <v>0.9299999999999999</v>
      </c>
      <c r="D37" s="6" t="inlineStr">
        <is>
          <t>um</t>
        </is>
      </c>
      <c r="E37" s="6" t="inlineStr">
        <is>
          <t>Resolved numeric value</t>
        </is>
      </c>
    </row>
    <row r="38">
      <c r="A38" s="2" t="inlineStr">
        <is>
          <t>Design parameter</t>
        </is>
      </c>
      <c r="B38" s="2" t="inlineStr">
        <is>
          <t>DESVAR_M1</t>
        </is>
      </c>
      <c r="C38" s="5" t="n">
        <v>35</v>
      </c>
      <c r="D38" s="2" t="inlineStr">
        <is>
          <t>count</t>
        </is>
      </c>
      <c r="E38" s="2" t="inlineStr">
        <is>
          <t>Resolved numeric value</t>
        </is>
      </c>
    </row>
    <row r="39">
      <c r="A39" s="6" t="inlineStr">
        <is>
          <t>Design parameter</t>
        </is>
      </c>
      <c r="B39" s="6" t="inlineStr">
        <is>
          <t>DESVAR_M2</t>
        </is>
      </c>
      <c r="C39" s="9" t="n">
        <v>1</v>
      </c>
      <c r="D39" s="6" t="inlineStr">
        <is>
          <t>count</t>
        </is>
      </c>
      <c r="E39" s="6" t="inlineStr">
        <is>
          <t>Resolved numeric value</t>
        </is>
      </c>
    </row>
    <row r="40">
      <c r="A40" s="2" t="inlineStr">
        <is>
          <t>Design parameter</t>
        </is>
      </c>
      <c r="B40" s="2" t="inlineStr">
        <is>
          <t>DESVAR_M3</t>
        </is>
      </c>
      <c r="C40" s="5" t="n">
        <v>11</v>
      </c>
      <c r="D40" s="2" t="inlineStr">
        <is>
          <t>count</t>
        </is>
      </c>
      <c r="E40" s="2" t="inlineStr">
        <is>
          <t>Resolved numeric value</t>
        </is>
      </c>
    </row>
    <row r="41">
      <c r="A41" s="6" t="inlineStr">
        <is>
          <t>Design parameter</t>
        </is>
      </c>
      <c r="B41" s="6" t="inlineStr">
        <is>
          <t>CCOMP_F</t>
        </is>
      </c>
      <c r="C41" s="9" t="n">
        <v>4.412e-12</v>
      </c>
      <c r="D41" s="6" t="inlineStr">
        <is>
          <t>F</t>
        </is>
      </c>
      <c r="E41" s="6" t="inlineStr">
        <is>
          <t>Resolved numeric value</t>
        </is>
      </c>
    </row>
    <row r="42">
      <c r="A42" s="2" t="inlineStr">
        <is>
          <t>Design parameter</t>
        </is>
      </c>
      <c r="B42" s="2" t="inlineStr">
        <is>
          <t>IBIAS_A</t>
        </is>
      </c>
      <c r="C42" s="5" t="n">
        <v>3.5e-06</v>
      </c>
      <c r="D42" s="2" t="inlineStr">
        <is>
          <t>A</t>
        </is>
      </c>
      <c r="E42" s="2" t="inlineStr">
        <is>
          <t>Resolved numeric value</t>
        </is>
      </c>
    </row>
    <row r="43">
      <c r="A43" s="6" t="inlineStr">
        <is>
          <t>Definition</t>
        </is>
      </c>
      <c r="B43" s="6" t="inlineStr">
        <is>
          <t>VGS_V / VDS_V / VBS_V</t>
        </is>
      </c>
      <c r="C43" s="6" t="inlineStr">
        <is>
          <t>Terminal node differences</t>
        </is>
      </c>
      <c r="D43" s="6" t="inlineStr">
        <is>
          <t>V</t>
        </is>
      </c>
      <c r="E43" s="6" t="inlineStr">
        <is>
          <t>Signed; PMOS VGS/VDS normally negative</t>
        </is>
      </c>
    </row>
    <row r="44">
      <c r="A44" s="2" t="inlineStr">
        <is>
          <t>Definition</t>
        </is>
      </c>
      <c r="B44" s="2" t="inlineStr">
        <is>
          <t>Id_model_A / gm_S / gds_S</t>
        </is>
      </c>
      <c r="C44" s="2" t="inlineStr">
        <is>
          <t>Native ngspice BSIM values</t>
        </is>
      </c>
      <c r="D44" s="2" t="inlineStr"/>
      <c r="E44" s="2" t="inlineStr">
        <is>
          <t>Already include M; no extra multiplication</t>
        </is>
      </c>
    </row>
    <row r="45">
      <c r="A45" s="6" t="inlineStr">
        <is>
          <t>Definition</t>
        </is>
      </c>
      <c r="B45" s="6" t="inlineStr">
        <is>
          <t>Capacitances</t>
        </is>
      </c>
      <c r="C45" s="6" t="inlineStr">
        <is>
          <t>Native BSIM charge-derivative matrix</t>
        </is>
      </c>
      <c r="D45" s="6" t="inlineStr">
        <is>
          <t>F</t>
        </is>
      </c>
      <c r="E45" s="6" t="inlineStr">
        <is>
          <t>Preserve signed off-diagonal terms; not all entries are positive lumped capacitors</t>
        </is>
      </c>
    </row>
    <row r="46">
      <c r="A46" s="2" t="inlineStr">
        <is>
          <t>Definition</t>
        </is>
      </c>
      <c r="B46" s="2" t="inlineStr">
        <is>
          <t>Saturation_margin_V</t>
        </is>
      </c>
      <c r="C46" s="2" t="inlineStr">
        <is>
          <t>VDS_oriented minus abs(Vdsat_model)</t>
        </is>
      </c>
      <c r="D46" s="2" t="inlineStr">
        <is>
          <t>V</t>
        </is>
      </c>
      <c r="E46" s="2" t="inlineStr">
        <is>
          <t>Diagnostic only; not an unconditional operating-region classifier</t>
        </is>
      </c>
    </row>
    <row r="47">
      <c r="A47" s="6" t="inlineStr">
        <is>
          <t>Definition</t>
        </is>
      </c>
      <c r="B47" s="6" t="inlineStr">
        <is>
          <t>Vov_est_V</t>
        </is>
      </c>
      <c r="C47" s="6" t="inlineStr">
        <is>
          <t>Oriented VGS minus abs(Vth_model)</t>
        </is>
      </c>
      <c r="D47" s="6" t="inlineStr">
        <is>
          <t>V</t>
        </is>
      </c>
      <c r="E47" s="6" t="inlineStr">
        <is>
          <t>Diagnostic only; negative overdrive can occur in weak inversion</t>
        </is>
      </c>
    </row>
    <row r="48">
      <c r="A48" s="2" t="inlineStr">
        <is>
          <t>Definition</t>
        </is>
      </c>
      <c r="B48" s="2" t="inlineStr">
        <is>
          <t>Missing metric</t>
        </is>
      </c>
      <c r="C48" s="2" t="inlineStr">
        <is>
          <t>nan</t>
        </is>
      </c>
      <c r="D48" s="2" t="inlineStr"/>
      <c r="E48" s="2" t="inlineStr">
        <is>
          <t>No fabricated zero; valid negative metrics are retained</t>
        </is>
      </c>
    </row>
    <row r="49">
      <c r="A49" s="6" t="inlineStr">
        <is>
          <t>Definition</t>
        </is>
      </c>
      <c r="B49" s="6" t="inlineStr">
        <is>
          <t>Transient initial point</t>
        </is>
      </c>
      <c r="C49" s="6" t="inlineStr">
        <is>
          <t>Separate from the quiet DC snapshot</t>
        </is>
      </c>
      <c r="D49" s="6" t="inlineStr"/>
      <c r="E49" s="6" t="inlineStr">
        <is>
          <t>Pulse starts at SR_LOW; no transient transistor states are exported</t>
        </is>
      </c>
    </row>
  </sheetData>
  <autoFilter ref="A1:E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2026-10-26T06:30:29Z</dcterms:created>
  <dcterms:modified xsi:type="dcterms:W3CDTF">2026-10-26T06:30:29Z</dcterms:modified>
</cp:coreProperties>
</file>